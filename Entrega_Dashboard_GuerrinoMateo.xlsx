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drawings/drawing7.xml" ContentType="application/vnd.openxmlformats-officedocument.drawing+xml"/>
  <Override PartName="/xl/ctrlProps/ctrlProp1.xml" ContentType="application/vnd.ms-excel.controlproperties+xml"/>
  <Override PartName="/xl/pivotTables/pivotTable8.xml" ContentType="application/vnd.openxmlformats-officedocument.spreadsheetml.pivotTable+xml"/>
  <Override PartName="/xl/drawings/drawing8.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d.docs.live.net/5dd54b28e5e14de0/Escritorio/coder data/trabajos/"/>
    </mc:Choice>
  </mc:AlternateContent>
  <xr:revisionPtr revIDLastSave="4" documentId="8_{D31EA9C9-6716-4B7B-86E8-C40B99EF995D}" xr6:coauthVersionLast="47" xr6:coauthVersionMax="47" xr10:uidLastSave="{71A9493C-5E98-4548-8508-4334641C7A3B}"/>
  <bookViews>
    <workbookView xWindow="-108" yWindow="-108" windowWidth="23256" windowHeight="12456" firstSheet="3" activeTab="3" xr2:uid="{00000000-000D-0000-FFFF-FFFF00000000}"/>
  </bookViews>
  <sheets>
    <sheet name="Estadistica_Descriptiva" sheetId="23" state="hidden" r:id="rId1"/>
    <sheet name="Resumen de Escenarios" sheetId="25" state="hidden" r:id="rId2"/>
    <sheet name="Simulacion_Financiera" sheetId="24" state="hidden" r:id="rId3"/>
    <sheet name="Dashboard Final" sheetId="26" r:id="rId4"/>
    <sheet name="Dataset_Principal" sheetId="1" state="hidden" r:id="rId5"/>
    <sheet name="Calculos" sheetId="2" state="hidden" r:id="rId6"/>
    <sheet name="Prevision" sheetId="3" state="hidden" r:id="rId7"/>
    <sheet name="Buscador" sheetId="4" state="hidden" r:id="rId8"/>
    <sheet name="Justificacion" sheetId="5" state="hidden" r:id="rId9"/>
    <sheet name="Cat_Juegos" sheetId="6" state="hidden" r:id="rId10"/>
    <sheet name="Cat_Clientes" sheetId="7" state="hidden" r:id="rId11"/>
    <sheet name="Reporte_Insights" sheetId="8" state="hidden" r:id="rId12"/>
    <sheet name="Matriz_Precios" sheetId="9" state="hidden" r:id="rId13"/>
    <sheet name="Busqueda_2D" sheetId="10" state="hidden" r:id="rId14"/>
    <sheet name="Vencimientos" sheetId="11" state="hidden" r:id="rId15"/>
    <sheet name="Auditoria" sheetId="12" state="hidden" r:id="rId16"/>
    <sheet name="Calculo_LET" sheetId="13" state="hidden" r:id="rId17"/>
    <sheet name="Base_Motor" sheetId="14" state="hidden" r:id="rId18"/>
    <sheet name="Detalle1" sheetId="19" state="hidden" r:id="rId19"/>
    <sheet name="Motor_Analisis" sheetId="15" state="hidden" r:id="rId20"/>
    <sheet name="Data_Clientes" sheetId="16" state="hidden" r:id="rId21"/>
    <sheet name="Historico_Simulaciones" sheetId="17" state="hidden" r:id="rId22"/>
    <sheet name="Dashboard" sheetId="18" state="hidden" r:id="rId23"/>
    <sheet name="Reporte_Ejecutivo" sheetId="22" state="hidden" r:id="rId24"/>
    <sheet name="Datos_ETL" sheetId="20" state="hidden" r:id="rId25"/>
    <sheet name="Evaluación_Financiera" sheetId="21" state="hidden" r:id="rId26"/>
  </sheets>
  <definedNames>
    <definedName name="RangoHistorico">OFFSET(Historico_Simulaciones!$A$1,0,0,COUNTA(Historico_Simulaciones!$A:$A),8)</definedName>
    <definedName name="SegmentaciónDeDatos_Categoria">#N/A</definedName>
    <definedName name="SegmentaciónDeDatos_Categoria1">#N/A</definedName>
    <definedName name="SegmentaciónDeDatos_Ciudad">#N/A</definedName>
    <definedName name="SegmentaciónDeDatos_Ciudad1">#N/A</definedName>
    <definedName name="SegmentaciónDeDatos_Ciudad2">#N/A</definedName>
    <definedName name="SegmentaciónDeDatos_Plataforma">#N/A</definedName>
    <definedName name="SegmentaciónDeDatos_Plataforma1">#N/A</definedName>
  </definedNames>
  <calcPr calcId="191029"/>
  <pivotCaches>
    <pivotCache cacheId="0" r:id="rId27"/>
    <pivotCache cacheId="1" r:id="rId28"/>
    <pivotCache cacheId="2" r:id="rId29"/>
    <pivotCache cacheId="36" r:id="rId30"/>
    <pivotCache cacheId="39" r:id="rId31"/>
    <pivotCache cacheId="42" r:id="rId32"/>
  </pivotCaches>
  <extLst>
    <ext xmlns:x14="http://schemas.microsoft.com/office/spreadsheetml/2009/9/main" uri="{876F7934-8845-4945-9796-88D515C7AA90}">
      <x14:pivotCaches>
        <pivotCache cacheId="6"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Ventas_07addcc7-dccc-4ac1-a0b6-9deee564b5a3" name="Fact_Ventas" connection="Consulta - Fact_Ventas"/>
          <x15:modelTable id="Dim_Clientes_7134264d-7431-4d6c-b586-e983a9d26a3f" name="Dim_Clientes" connection="Consulta - Dim_Clientes"/>
          <x15:modelTable id="Dim_Productos_c6fcb409-d1e2-4573-8c4b-be3fccc20045" name="Dim_Productos" connection="Consulta - Dim_Productos"/>
          <x15:modelTable id="Dim_Calendario_9a350a7e-c216-43da-8644-545b2a9c55f3" name="Dim_Calendario" connection="Consulta - Dim_Calendario"/>
        </x15:modelTables>
        <x15:modelRelationships>
          <x15:modelRelationship fromTable="Fact_Ventas" fromColumn="ID_Cliente" toTable="Dim_Clientes" toColumn="ID_Cliente"/>
          <x15:modelRelationship fromTable="Fact_Ventas" fromColumn="ID_Juego" toTable="Dim_Productos" toColumn="ID_Juego"/>
          <x15:modelRelationship fromTable="Fact_Ventas" fromColumn="Fecha" toTable="Dim_Calendario" toColumn="Fecha"/>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6" l="1"/>
  <c r="K5" i="26"/>
  <c r="F5" i="26"/>
  <c r="B8" i="24"/>
  <c r="B9" i="24"/>
  <c r="B18" i="21"/>
  <c r="B17" i="21"/>
  <c r="B6" i="21"/>
  <c r="B8" i="18"/>
  <c r="B9" i="18"/>
  <c r="H3" i="14"/>
  <c r="I3" i="14"/>
  <c r="H4" i="14"/>
  <c r="I4" i="14"/>
  <c r="H5" i="14"/>
  <c r="I5" i="14"/>
  <c r="H6" i="14"/>
  <c r="I6" i="14"/>
  <c r="H7" i="14"/>
  <c r="I7" i="14"/>
  <c r="H8" i="14"/>
  <c r="I8" i="14"/>
  <c r="H9" i="14"/>
  <c r="I9" i="14"/>
  <c r="H10" i="14"/>
  <c r="I10" i="14"/>
  <c r="H11" i="14"/>
  <c r="I11" i="14"/>
  <c r="H12" i="14"/>
  <c r="I12" i="14"/>
  <c r="H13" i="14"/>
  <c r="I13" i="14"/>
  <c r="H14" i="14"/>
  <c r="I14" i="14"/>
  <c r="H15" i="14"/>
  <c r="I15" i="14"/>
  <c r="H16" i="14"/>
  <c r="I16" i="14"/>
  <c r="H17" i="14"/>
  <c r="I17" i="14"/>
  <c r="H18" i="14"/>
  <c r="I18" i="14"/>
  <c r="H19" i="14"/>
  <c r="I19" i="14"/>
  <c r="H20" i="14"/>
  <c r="I20" i="14"/>
  <c r="H21" i="14"/>
  <c r="I21" i="14"/>
  <c r="H22" i="14"/>
  <c r="I22" i="14"/>
  <c r="H23" i="14"/>
  <c r="I23" i="14"/>
  <c r="H24" i="14"/>
  <c r="I24" i="14"/>
  <c r="H25" i="14"/>
  <c r="I25" i="14"/>
  <c r="H26" i="14"/>
  <c r="I26" i="14"/>
  <c r="H27" i="14"/>
  <c r="I27" i="14"/>
  <c r="H28" i="14"/>
  <c r="I28" i="14"/>
  <c r="H29" i="14"/>
  <c r="I29" i="14"/>
  <c r="H30" i="14"/>
  <c r="I30" i="14"/>
  <c r="H31" i="14"/>
  <c r="I31" i="14"/>
  <c r="H32" i="14"/>
  <c r="I32" i="14"/>
  <c r="H33" i="14"/>
  <c r="I33" i="14"/>
  <c r="H34" i="14"/>
  <c r="I34" i="14"/>
  <c r="H35" i="14"/>
  <c r="I35" i="14"/>
  <c r="H36" i="14"/>
  <c r="I36" i="14"/>
  <c r="H37" i="14"/>
  <c r="I37" i="14"/>
  <c r="H38" i="14"/>
  <c r="I38" i="14"/>
  <c r="H39" i="14"/>
  <c r="I39" i="14"/>
  <c r="H40" i="14"/>
  <c r="I40" i="14"/>
  <c r="H41" i="14"/>
  <c r="I41" i="14"/>
  <c r="H42" i="14"/>
  <c r="I42" i="14"/>
  <c r="H43" i="14"/>
  <c r="I43" i="14"/>
  <c r="H44" i="14"/>
  <c r="I44" i="14"/>
  <c r="H45" i="14"/>
  <c r="I45" i="14"/>
  <c r="H46" i="14"/>
  <c r="I46" i="14"/>
  <c r="H47" i="14"/>
  <c r="I47" i="14"/>
  <c r="H48" i="14"/>
  <c r="I48" i="14"/>
  <c r="H49" i="14"/>
  <c r="I49" i="14"/>
  <c r="H50" i="14"/>
  <c r="I50" i="14"/>
  <c r="H51" i="14"/>
  <c r="I51" i="14"/>
  <c r="D3" i="14"/>
  <c r="E3" i="14"/>
  <c r="F3" i="14"/>
  <c r="D4" i="14"/>
  <c r="E4" i="14"/>
  <c r="F4" i="14"/>
  <c r="D5" i="14"/>
  <c r="E5" i="14"/>
  <c r="F5" i="14"/>
  <c r="D6" i="14"/>
  <c r="E6" i="14"/>
  <c r="F6" i="14"/>
  <c r="D7" i="14"/>
  <c r="E7" i="14"/>
  <c r="F7" i="14"/>
  <c r="D8" i="14"/>
  <c r="E8" i="14"/>
  <c r="F8" i="14"/>
  <c r="D9" i="14"/>
  <c r="E9" i="14"/>
  <c r="F9" i="14"/>
  <c r="D10" i="14"/>
  <c r="E10" i="14"/>
  <c r="F10" i="14"/>
  <c r="D11" i="14"/>
  <c r="E11" i="14"/>
  <c r="F11" i="14"/>
  <c r="D12" i="14"/>
  <c r="E12" i="14"/>
  <c r="F12" i="14"/>
  <c r="D13" i="14"/>
  <c r="E13" i="14"/>
  <c r="F13" i="14"/>
  <c r="D14" i="14"/>
  <c r="E14" i="14"/>
  <c r="F14" i="14"/>
  <c r="D15" i="14"/>
  <c r="E15" i="14"/>
  <c r="F15" i="14"/>
  <c r="D16" i="14"/>
  <c r="E16" i="14"/>
  <c r="F16" i="14"/>
  <c r="D17" i="14"/>
  <c r="E17" i="14"/>
  <c r="F17" i="14"/>
  <c r="D18" i="14"/>
  <c r="E18" i="14"/>
  <c r="F18" i="14"/>
  <c r="D19" i="14"/>
  <c r="E19" i="14"/>
  <c r="F19" i="14"/>
  <c r="D20" i="14"/>
  <c r="E20" i="14"/>
  <c r="F20" i="14"/>
  <c r="D21" i="14"/>
  <c r="E21" i="14"/>
  <c r="F21" i="14"/>
  <c r="D22" i="14"/>
  <c r="E22" i="14"/>
  <c r="F22" i="14"/>
  <c r="D23" i="14"/>
  <c r="E23" i="14"/>
  <c r="F23" i="14"/>
  <c r="D24" i="14"/>
  <c r="E24" i="14"/>
  <c r="F24" i="14"/>
  <c r="D25" i="14"/>
  <c r="E25" i="14"/>
  <c r="F25" i="14"/>
  <c r="D26" i="14"/>
  <c r="E26" i="14"/>
  <c r="F26" i="14"/>
  <c r="D27" i="14"/>
  <c r="E27" i="14"/>
  <c r="F27" i="14"/>
  <c r="D28" i="14"/>
  <c r="E28" i="14"/>
  <c r="F28" i="14"/>
  <c r="D29" i="14"/>
  <c r="E29" i="14"/>
  <c r="F29" i="14"/>
  <c r="D30" i="14"/>
  <c r="E30" i="14"/>
  <c r="F30" i="14"/>
  <c r="D31" i="14"/>
  <c r="E31" i="14"/>
  <c r="F31" i="14"/>
  <c r="D32" i="14"/>
  <c r="E32" i="14"/>
  <c r="F32" i="14"/>
  <c r="D33" i="14"/>
  <c r="E33" i="14"/>
  <c r="F33" i="14"/>
  <c r="D34" i="14"/>
  <c r="E34" i="14"/>
  <c r="F34" i="14"/>
  <c r="D35" i="14"/>
  <c r="E35" i="14"/>
  <c r="F35" i="14"/>
  <c r="D36" i="14"/>
  <c r="E36" i="14"/>
  <c r="F36" i="14"/>
  <c r="D37" i="14"/>
  <c r="E37" i="14"/>
  <c r="F37" i="14"/>
  <c r="D38" i="14"/>
  <c r="E38" i="14"/>
  <c r="F38" i="14"/>
  <c r="D39" i="14"/>
  <c r="E39" i="14"/>
  <c r="F39" i="14"/>
  <c r="D40" i="14"/>
  <c r="E40" i="14"/>
  <c r="F40" i="14"/>
  <c r="D41" i="14"/>
  <c r="E41" i="14"/>
  <c r="F41" i="14"/>
  <c r="D42" i="14"/>
  <c r="E42" i="14"/>
  <c r="F42" i="14"/>
  <c r="D43" i="14"/>
  <c r="E43" i="14"/>
  <c r="F43" i="14"/>
  <c r="D44" i="14"/>
  <c r="E44" i="14"/>
  <c r="F44" i="14"/>
  <c r="D45" i="14"/>
  <c r="E45" i="14"/>
  <c r="F45" i="14"/>
  <c r="D46" i="14"/>
  <c r="E46" i="14"/>
  <c r="F46" i="14"/>
  <c r="D47" i="14"/>
  <c r="E47" i="14"/>
  <c r="F47" i="14"/>
  <c r="D48" i="14"/>
  <c r="E48" i="14"/>
  <c r="F48" i="14"/>
  <c r="D49" i="14"/>
  <c r="E49" i="14"/>
  <c r="F49" i="14"/>
  <c r="D50" i="14"/>
  <c r="E50" i="14"/>
  <c r="F50" i="14"/>
  <c r="D51" i="14"/>
  <c r="E51" i="14"/>
  <c r="F51" i="14"/>
  <c r="I2" i="14"/>
  <c r="H2" i="14"/>
  <c r="F2" i="14"/>
  <c r="E2" i="14"/>
  <c r="D2" i="14"/>
  <c r="J3" i="14"/>
  <c r="K3" i="14"/>
  <c r="J4" i="14"/>
  <c r="K4" i="14"/>
  <c r="J5" i="14"/>
  <c r="K5" i="14"/>
  <c r="J6" i="14"/>
  <c r="K6" i="14"/>
  <c r="J7" i="14"/>
  <c r="K7" i="14"/>
  <c r="J8" i="14"/>
  <c r="K8" i="14"/>
  <c r="J9" i="14"/>
  <c r="K9" i="14"/>
  <c r="J10" i="14"/>
  <c r="K10" i="14"/>
  <c r="J11" i="14"/>
  <c r="K11" i="14"/>
  <c r="J12" i="14"/>
  <c r="K12" i="14"/>
  <c r="J13" i="14"/>
  <c r="K13" i="14"/>
  <c r="J14" i="14"/>
  <c r="K14" i="14"/>
  <c r="J15" i="14"/>
  <c r="K15" i="14"/>
  <c r="J16" i="14"/>
  <c r="K16" i="14"/>
  <c r="J17" i="14"/>
  <c r="K17" i="14"/>
  <c r="J18" i="14"/>
  <c r="K18" i="14"/>
  <c r="J19" i="14"/>
  <c r="K19" i="14"/>
  <c r="J20" i="14"/>
  <c r="K20" i="14"/>
  <c r="J21" i="14"/>
  <c r="K21" i="14"/>
  <c r="J22" i="14"/>
  <c r="K22" i="14"/>
  <c r="J23" i="14"/>
  <c r="K23" i="14"/>
  <c r="J24" i="14"/>
  <c r="K24" i="14"/>
  <c r="J25" i="14"/>
  <c r="K25" i="14"/>
  <c r="J26" i="14"/>
  <c r="K26" i="14"/>
  <c r="J27" i="14"/>
  <c r="K27" i="14"/>
  <c r="J28" i="14"/>
  <c r="K28" i="14"/>
  <c r="J29" i="14"/>
  <c r="K29" i="14"/>
  <c r="J30" i="14"/>
  <c r="K30" i="14"/>
  <c r="J31" i="14"/>
  <c r="K31" i="14"/>
  <c r="J32" i="14"/>
  <c r="K32" i="14"/>
  <c r="J33" i="14"/>
  <c r="K33" i="14"/>
  <c r="J34" i="14"/>
  <c r="K34" i="14"/>
  <c r="J35" i="14"/>
  <c r="K35" i="14"/>
  <c r="J36" i="14"/>
  <c r="K36" i="14"/>
  <c r="J37" i="14"/>
  <c r="K37" i="14"/>
  <c r="J38" i="14"/>
  <c r="K38" i="14"/>
  <c r="J39" i="14"/>
  <c r="K39" i="14"/>
  <c r="J40" i="14"/>
  <c r="K40" i="14"/>
  <c r="J41" i="14"/>
  <c r="K41" i="14"/>
  <c r="J42" i="14"/>
  <c r="K42" i="14"/>
  <c r="J43" i="14"/>
  <c r="K43" i="14"/>
  <c r="J44" i="14"/>
  <c r="K44" i="14"/>
  <c r="J45" i="14"/>
  <c r="K45" i="14"/>
  <c r="J46" i="14"/>
  <c r="K46" i="14"/>
  <c r="J47" i="14"/>
  <c r="K47" i="14"/>
  <c r="J48" i="14"/>
  <c r="K48" i="14"/>
  <c r="J49" i="14"/>
  <c r="K49" i="14"/>
  <c r="J50" i="14"/>
  <c r="K50" i="14"/>
  <c r="J51" i="14"/>
  <c r="K51" i="14"/>
  <c r="G3" i="14"/>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A3" i="14"/>
  <c r="B3" i="14"/>
  <c r="C3" i="14"/>
  <c r="A4" i="14"/>
  <c r="B4" i="14"/>
  <c r="C4" i="14"/>
  <c r="A5" i="14"/>
  <c r="B5" i="14"/>
  <c r="C5" i="14"/>
  <c r="A6" i="14"/>
  <c r="B6" i="14"/>
  <c r="C6" i="14"/>
  <c r="A7" i="14"/>
  <c r="B7" i="14"/>
  <c r="C7" i="14"/>
  <c r="A8" i="14"/>
  <c r="B8" i="14"/>
  <c r="C8" i="14"/>
  <c r="A9" i="14"/>
  <c r="B9" i="14"/>
  <c r="C9" i="14"/>
  <c r="A10" i="14"/>
  <c r="B10" i="14"/>
  <c r="C10" i="14"/>
  <c r="A11" i="14"/>
  <c r="B11" i="14"/>
  <c r="C11" i="14"/>
  <c r="A12" i="14"/>
  <c r="B12" i="14"/>
  <c r="C12" i="14"/>
  <c r="A13" i="14"/>
  <c r="B13" i="14"/>
  <c r="C13" i="14"/>
  <c r="A14" i="14"/>
  <c r="B14" i="14"/>
  <c r="C14" i="14"/>
  <c r="A15" i="14"/>
  <c r="B15" i="14"/>
  <c r="C15" i="14"/>
  <c r="A16" i="14"/>
  <c r="B16" i="14"/>
  <c r="C16" i="14"/>
  <c r="A17" i="14"/>
  <c r="B17" i="14"/>
  <c r="C17" i="14"/>
  <c r="A18" i="14"/>
  <c r="B18" i="14"/>
  <c r="C18" i="14"/>
  <c r="A19" i="14"/>
  <c r="B19" i="14"/>
  <c r="C19" i="14"/>
  <c r="A20" i="14"/>
  <c r="B20" i="14"/>
  <c r="C20" i="14"/>
  <c r="A21" i="14"/>
  <c r="B21" i="14"/>
  <c r="C21" i="14"/>
  <c r="A22" i="14"/>
  <c r="B22" i="14"/>
  <c r="C22" i="14"/>
  <c r="A23" i="14"/>
  <c r="B23" i="14"/>
  <c r="C23" i="14"/>
  <c r="A24" i="14"/>
  <c r="B24" i="14"/>
  <c r="C24" i="14"/>
  <c r="A25" i="14"/>
  <c r="B25" i="14"/>
  <c r="C25" i="14"/>
  <c r="A26" i="14"/>
  <c r="B26" i="14"/>
  <c r="C26" i="14"/>
  <c r="A27" i="14"/>
  <c r="B27" i="14"/>
  <c r="C27" i="14"/>
  <c r="A28" i="14"/>
  <c r="B28" i="14"/>
  <c r="C28" i="14"/>
  <c r="A29" i="14"/>
  <c r="B29" i="14"/>
  <c r="C29" i="14"/>
  <c r="A30" i="14"/>
  <c r="B30" i="14"/>
  <c r="C30" i="14"/>
  <c r="A31" i="14"/>
  <c r="B31" i="14"/>
  <c r="C31" i="14"/>
  <c r="A32" i="14"/>
  <c r="B32" i="14"/>
  <c r="C32" i="14"/>
  <c r="A33" i="14"/>
  <c r="B33" i="14"/>
  <c r="C33" i="14"/>
  <c r="A34" i="14"/>
  <c r="B34" i="14"/>
  <c r="C34" i="14"/>
  <c r="A35" i="14"/>
  <c r="B35" i="14"/>
  <c r="C35" i="14"/>
  <c r="A36" i="14"/>
  <c r="B36" i="14"/>
  <c r="C36" i="14"/>
  <c r="A37" i="14"/>
  <c r="B37" i="14"/>
  <c r="C37" i="14"/>
  <c r="A38" i="14"/>
  <c r="B38" i="14"/>
  <c r="C38" i="14"/>
  <c r="A39" i="14"/>
  <c r="B39" i="14"/>
  <c r="C39" i="14"/>
  <c r="A40" i="14"/>
  <c r="B40" i="14"/>
  <c r="C40" i="14"/>
  <c r="A41" i="14"/>
  <c r="B41" i="14"/>
  <c r="C41" i="14"/>
  <c r="A42" i="14"/>
  <c r="B42" i="14"/>
  <c r="C42" i="14"/>
  <c r="A43" i="14"/>
  <c r="B43" i="14"/>
  <c r="C43" i="14"/>
  <c r="A44" i="14"/>
  <c r="B44" i="14"/>
  <c r="C44" i="14"/>
  <c r="A45" i="14"/>
  <c r="B45" i="14"/>
  <c r="C45" i="14"/>
  <c r="A46" i="14"/>
  <c r="B46" i="14"/>
  <c r="C46" i="14"/>
  <c r="A47" i="14"/>
  <c r="B47" i="14"/>
  <c r="C47" i="14"/>
  <c r="A48" i="14"/>
  <c r="B48" i="14"/>
  <c r="C48" i="14"/>
  <c r="A49" i="14"/>
  <c r="B49" i="14"/>
  <c r="C49" i="14"/>
  <c r="A50" i="14"/>
  <c r="B50" i="14"/>
  <c r="C50" i="14"/>
  <c r="A51" i="14"/>
  <c r="B51" i="14"/>
  <c r="C51" i="14"/>
  <c r="K2" i="14"/>
  <c r="J2" i="14"/>
  <c r="G2" i="14"/>
  <c r="C2" i="14"/>
  <c r="B2" i="14"/>
  <c r="A2" i="14"/>
  <c r="B11" i="13"/>
  <c r="B13" i="13" s="1"/>
  <c r="B11" i="12"/>
  <c r="B12" i="12" s="1"/>
  <c r="B10" i="12"/>
  <c r="D9" i="11"/>
  <c r="D7" i="11"/>
  <c r="D5" i="11"/>
  <c r="D8" i="11"/>
  <c r="D6" i="11"/>
  <c r="D4" i="11"/>
  <c r="B5" i="10"/>
  <c r="C34" i="8"/>
  <c r="C33" i="8"/>
  <c r="C32" i="8"/>
  <c r="C31" i="8"/>
  <c r="C30" i="8"/>
  <c r="C29" i="8"/>
  <c r="C28" i="8"/>
  <c r="C27" i="8"/>
  <c r="C26" i="8"/>
  <c r="C25" i="8"/>
  <c r="B9" i="8"/>
  <c r="B7" i="8"/>
  <c r="B6" i="8"/>
  <c r="B5" i="8"/>
  <c r="B8" i="4"/>
  <c r="B7" i="4"/>
  <c r="B6" i="4"/>
  <c r="B5" i="4"/>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D51" i="2"/>
  <c r="E51" i="2" s="1"/>
  <c r="C51" i="2"/>
  <c r="B51" i="2"/>
  <c r="A51" i="2"/>
  <c r="D50" i="2"/>
  <c r="E50" i="2" s="1"/>
  <c r="C50" i="2"/>
  <c r="B50" i="2"/>
  <c r="A50" i="2"/>
  <c r="D49" i="2"/>
  <c r="E49" i="2" s="1"/>
  <c r="C49" i="2"/>
  <c r="B49" i="2"/>
  <c r="A49" i="2"/>
  <c r="D48" i="2"/>
  <c r="E48" i="2" s="1"/>
  <c r="C48" i="2"/>
  <c r="B48" i="2"/>
  <c r="A48" i="2"/>
  <c r="D47" i="2"/>
  <c r="E47" i="2" s="1"/>
  <c r="C47" i="2"/>
  <c r="B47" i="2"/>
  <c r="A47" i="2"/>
  <c r="D46" i="2"/>
  <c r="E46" i="2" s="1"/>
  <c r="C46" i="2"/>
  <c r="B46" i="2"/>
  <c r="A46" i="2"/>
  <c r="D45" i="2"/>
  <c r="E45" i="2" s="1"/>
  <c r="C45" i="2"/>
  <c r="B45" i="2"/>
  <c r="A45" i="2"/>
  <c r="D44" i="2"/>
  <c r="E44" i="2" s="1"/>
  <c r="C44" i="2"/>
  <c r="B44" i="2"/>
  <c r="A44" i="2"/>
  <c r="D43" i="2"/>
  <c r="E43" i="2" s="1"/>
  <c r="C43" i="2"/>
  <c r="B43" i="2"/>
  <c r="A43" i="2"/>
  <c r="D42" i="2"/>
  <c r="E42" i="2" s="1"/>
  <c r="C42" i="2"/>
  <c r="B42" i="2"/>
  <c r="A42" i="2"/>
  <c r="D41" i="2"/>
  <c r="E41" i="2" s="1"/>
  <c r="C41" i="2"/>
  <c r="B41" i="2"/>
  <c r="A41" i="2"/>
  <c r="D40" i="2"/>
  <c r="E40" i="2" s="1"/>
  <c r="C40" i="2"/>
  <c r="B40" i="2"/>
  <c r="A40" i="2"/>
  <c r="E39" i="2"/>
  <c r="D39" i="2"/>
  <c r="C39" i="2"/>
  <c r="B39" i="2"/>
  <c r="A39" i="2"/>
  <c r="D38" i="2"/>
  <c r="E38" i="2" s="1"/>
  <c r="C38" i="2"/>
  <c r="B38" i="2"/>
  <c r="A38" i="2"/>
  <c r="D37" i="2"/>
  <c r="E37" i="2" s="1"/>
  <c r="C37" i="2"/>
  <c r="B37" i="2"/>
  <c r="A37" i="2"/>
  <c r="D36" i="2"/>
  <c r="E36" i="2" s="1"/>
  <c r="C36" i="2"/>
  <c r="B36" i="2"/>
  <c r="A36" i="2"/>
  <c r="D35" i="2"/>
  <c r="E35" i="2" s="1"/>
  <c r="C35" i="2"/>
  <c r="B35" i="2"/>
  <c r="A35" i="2"/>
  <c r="D34" i="2"/>
  <c r="E34" i="2" s="1"/>
  <c r="C34" i="2"/>
  <c r="B34" i="2"/>
  <c r="A34" i="2"/>
  <c r="D33" i="2"/>
  <c r="E33" i="2" s="1"/>
  <c r="C33" i="2"/>
  <c r="B33" i="2"/>
  <c r="A33" i="2"/>
  <c r="D32" i="2"/>
  <c r="E32" i="2" s="1"/>
  <c r="C32" i="2"/>
  <c r="B32" i="2"/>
  <c r="A32" i="2"/>
  <c r="D31" i="2"/>
  <c r="E31" i="2" s="1"/>
  <c r="C31" i="2"/>
  <c r="B31" i="2"/>
  <c r="A31" i="2"/>
  <c r="D30" i="2"/>
  <c r="E30" i="2" s="1"/>
  <c r="C30" i="2"/>
  <c r="B30" i="2"/>
  <c r="A30" i="2"/>
  <c r="D29" i="2"/>
  <c r="E29" i="2" s="1"/>
  <c r="C29" i="2"/>
  <c r="B29" i="2"/>
  <c r="A29" i="2"/>
  <c r="D28" i="2"/>
  <c r="E28" i="2" s="1"/>
  <c r="C28" i="2"/>
  <c r="B28" i="2"/>
  <c r="A28" i="2"/>
  <c r="D27" i="2"/>
  <c r="E27" i="2" s="1"/>
  <c r="C27" i="2"/>
  <c r="B27" i="2"/>
  <c r="A27" i="2"/>
  <c r="D26" i="2"/>
  <c r="E26" i="2" s="1"/>
  <c r="C26" i="2"/>
  <c r="B26" i="2"/>
  <c r="A26" i="2"/>
  <c r="D25" i="2"/>
  <c r="E25" i="2" s="1"/>
  <c r="C25" i="2"/>
  <c r="B25" i="2"/>
  <c r="A25" i="2"/>
  <c r="D24" i="2"/>
  <c r="E24" i="2" s="1"/>
  <c r="C24" i="2"/>
  <c r="B24" i="2"/>
  <c r="A24" i="2"/>
  <c r="D23" i="2"/>
  <c r="E23" i="2" s="1"/>
  <c r="C23" i="2"/>
  <c r="B23" i="2"/>
  <c r="A23" i="2"/>
  <c r="D22" i="2"/>
  <c r="E22" i="2" s="1"/>
  <c r="C22" i="2"/>
  <c r="B22" i="2"/>
  <c r="A22" i="2"/>
  <c r="D21" i="2"/>
  <c r="E21" i="2" s="1"/>
  <c r="C21" i="2"/>
  <c r="B21" i="2"/>
  <c r="A21" i="2"/>
  <c r="D20" i="2"/>
  <c r="E20" i="2" s="1"/>
  <c r="C20" i="2"/>
  <c r="B20" i="2"/>
  <c r="A20" i="2"/>
  <c r="D19" i="2"/>
  <c r="E19" i="2" s="1"/>
  <c r="C19" i="2"/>
  <c r="B19" i="2"/>
  <c r="A19" i="2"/>
  <c r="D18" i="2"/>
  <c r="E18" i="2" s="1"/>
  <c r="C18" i="2"/>
  <c r="B18" i="2"/>
  <c r="A18" i="2"/>
  <c r="D17" i="2"/>
  <c r="E17" i="2" s="1"/>
  <c r="C17" i="2"/>
  <c r="B17" i="2"/>
  <c r="A17" i="2"/>
  <c r="D16" i="2"/>
  <c r="E16" i="2" s="1"/>
  <c r="C16" i="2"/>
  <c r="B16" i="2"/>
  <c r="A16" i="2"/>
  <c r="D15" i="2"/>
  <c r="E15" i="2" s="1"/>
  <c r="C15" i="2"/>
  <c r="B15" i="2"/>
  <c r="A15" i="2"/>
  <c r="D14" i="2"/>
  <c r="E14" i="2" s="1"/>
  <c r="C14" i="2"/>
  <c r="B14" i="2"/>
  <c r="A14" i="2"/>
  <c r="D13" i="2"/>
  <c r="E13" i="2" s="1"/>
  <c r="C13" i="2"/>
  <c r="B13" i="2"/>
  <c r="A13" i="2"/>
  <c r="E12" i="2"/>
  <c r="D12" i="2"/>
  <c r="C12" i="2"/>
  <c r="B12" i="2"/>
  <c r="A12" i="2"/>
  <c r="D11" i="2"/>
  <c r="E11" i="2" s="1"/>
  <c r="C11" i="2"/>
  <c r="B11" i="2"/>
  <c r="A11" i="2"/>
  <c r="D10" i="2"/>
  <c r="E10" i="2" s="1"/>
  <c r="C10" i="2"/>
  <c r="B10" i="2"/>
  <c r="A10" i="2"/>
  <c r="D9" i="2"/>
  <c r="E9" i="2" s="1"/>
  <c r="C9" i="2"/>
  <c r="B9" i="2"/>
  <c r="A9" i="2"/>
  <c r="D8" i="2"/>
  <c r="E8" i="2" s="1"/>
  <c r="C8" i="2"/>
  <c r="B8" i="2"/>
  <c r="A8" i="2"/>
  <c r="D7" i="2"/>
  <c r="E7" i="2" s="1"/>
  <c r="C7" i="2"/>
  <c r="B7" i="2"/>
  <c r="A7" i="2"/>
  <c r="D6" i="2"/>
  <c r="E6" i="2" s="1"/>
  <c r="C6" i="2"/>
  <c r="B6" i="2"/>
  <c r="A6" i="2"/>
  <c r="D5" i="2"/>
  <c r="E5" i="2" s="1"/>
  <c r="C5" i="2"/>
  <c r="B5" i="2"/>
  <c r="A5" i="2"/>
  <c r="D4" i="2"/>
  <c r="E4" i="2" s="1"/>
  <c r="C4" i="2"/>
  <c r="B4" i="2"/>
  <c r="A4" i="2"/>
  <c r="D3" i="2"/>
  <c r="E3" i="2" s="1"/>
  <c r="C3" i="2"/>
  <c r="B3" i="2"/>
  <c r="A3" i="2"/>
  <c r="D2" i="2"/>
  <c r="E2" i="2" s="1"/>
  <c r="C2" i="2"/>
  <c r="B2" i="2"/>
  <c r="A2" i="2"/>
  <c r="B10" i="24" l="1"/>
  <c r="C37" i="3"/>
  <c r="C38" i="3"/>
  <c r="C36" i="3"/>
  <c r="F27" i="8"/>
  <c r="F25" i="8"/>
  <c r="B8" i="8"/>
  <c r="F26" i="8"/>
  <c r="D37" i="3" l="1"/>
  <c r="E37" i="3"/>
  <c r="D38" i="3"/>
  <c r="E38" i="3"/>
  <c r="E36" i="3"/>
  <c r="D3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Alumno</author>
  </authors>
  <commentList>
    <comment ref="A1" authorId="0" shapeId="0" xr:uid="{00000000-0006-0000-0300-000001000000}">
      <text>
        <r>
          <rPr>
            <sz val="11"/>
            <rFont val="Carlito"/>
          </rPr>
          <t>Contraseña de protección: juegos2026</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0E5BFC-A98A-480C-808D-3A6013AC8B91}" name="Consulta - Dim_Calendario" description="Conexión a la consulta 'Dim_Calendario' en el libro." type="100" refreshedVersion="8" minRefreshableVersion="5">
    <extLst>
      <ext xmlns:x15="http://schemas.microsoft.com/office/spreadsheetml/2010/11/main" uri="{DE250136-89BD-433C-8126-D09CA5730AF9}">
        <x15:connection id="e52558f0-7bcb-40d1-8611-7d387182ab97"/>
      </ext>
    </extLst>
  </connection>
  <connection id="2" xr16:uid="{24EAFC03-8DE2-4ECB-B9E4-E43025CDDEF9}" name="Consulta - Dim_Clientes" description="Conexión a la consulta 'Dim_Clientes' en el libro." type="100" refreshedVersion="8" minRefreshableVersion="5">
    <extLst>
      <ext xmlns:x15="http://schemas.microsoft.com/office/spreadsheetml/2010/11/main" uri="{DE250136-89BD-433C-8126-D09CA5730AF9}">
        <x15:connection id="1609ae15-5ce1-48b6-adfa-3ce3f47ef553"/>
      </ext>
    </extLst>
  </connection>
  <connection id="3" xr16:uid="{0C7964E5-68AC-4F45-9804-EBE491FFF7F8}" name="Consulta - Dim_Productos" description="Conexión a la consulta 'Dim_Productos' en el libro." type="100" refreshedVersion="8" minRefreshableVersion="5">
    <extLst>
      <ext xmlns:x15="http://schemas.microsoft.com/office/spreadsheetml/2010/11/main" uri="{DE250136-89BD-433C-8126-D09CA5730AF9}">
        <x15:connection id="5f4aec1c-eb29-4823-bbbb-2f0afd18ff8f"/>
      </ext>
    </extLst>
  </connection>
  <connection id="4" xr16:uid="{06EC5051-BE13-4BCC-A6E7-00D04E74967F}" name="Consulta - Fact_Ventas" description="Conexión a la consulta 'Fact_Ventas' en el libro." type="100" refreshedVersion="8" minRefreshableVersion="5">
    <extLst>
      <ext xmlns:x15="http://schemas.microsoft.com/office/spreadsheetml/2010/11/main" uri="{DE250136-89BD-433C-8126-D09CA5730AF9}">
        <x15:connection id="93e161f3-a637-43a5-8d5e-042dc3d1b140"/>
      </ext>
    </extLst>
  </connection>
  <connection id="5" xr16:uid="{6C2699D2-5421-45E4-A217-DBF5A45C6725}"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<sst xmlns="http://schemas.openxmlformats.org/spreadsheetml/2006/main" count="658" uniqueCount="334">
  <si>
    <t>ID_Venta</t>
  </si>
  <si>
    <t>Fecha</t>
  </si>
  <si>
    <t>ID_Juego</t>
  </si>
  <si>
    <t>ID_Cliente</t>
  </si>
  <si>
    <t>Cantidad</t>
  </si>
  <si>
    <t>Total_Venta</t>
  </si>
  <si>
    <t>V-001</t>
  </si>
  <si>
    <t>J-008</t>
  </si>
  <si>
    <t>C-005</t>
  </si>
  <si>
    <t>V-002</t>
  </si>
  <si>
    <t>J-009</t>
  </si>
  <si>
    <t>C-006</t>
  </si>
  <si>
    <t>V-003</t>
  </si>
  <si>
    <t>J-007</t>
  </si>
  <si>
    <t>C-001</t>
  </si>
  <si>
    <t>V-004</t>
  </si>
  <si>
    <t>V-005</t>
  </si>
  <si>
    <t>C-010</t>
  </si>
  <si>
    <t>V-006</t>
  </si>
  <si>
    <t>V-007</t>
  </si>
  <si>
    <t>J-010</t>
  </si>
  <si>
    <t>C-003</t>
  </si>
  <si>
    <t>V-008</t>
  </si>
  <si>
    <t>J-006</t>
  </si>
  <si>
    <t>V-009</t>
  </si>
  <si>
    <t>J-004</t>
  </si>
  <si>
    <t>V-010</t>
  </si>
  <si>
    <t>C-002</t>
  </si>
  <si>
    <t>V-011</t>
  </si>
  <si>
    <t>C-007</t>
  </si>
  <si>
    <t>V-012</t>
  </si>
  <si>
    <t>J-002</t>
  </si>
  <si>
    <t>V-013</t>
  </si>
  <si>
    <t>C-004</t>
  </si>
  <si>
    <t>V-014</t>
  </si>
  <si>
    <t>C-008</t>
  </si>
  <si>
    <t>V-015</t>
  </si>
  <si>
    <t>V-016</t>
  </si>
  <si>
    <t>V-017</t>
  </si>
  <si>
    <t>J-003</t>
  </si>
  <si>
    <t>V-018</t>
  </si>
  <si>
    <t>C-009</t>
  </si>
  <si>
    <t>V-019</t>
  </si>
  <si>
    <t>V-020</t>
  </si>
  <si>
    <t>V-021</t>
  </si>
  <si>
    <t>V-022</t>
  </si>
  <si>
    <t>V-023</t>
  </si>
  <si>
    <t>V-024</t>
  </si>
  <si>
    <t>J-005</t>
  </si>
  <si>
    <t>V-025</t>
  </si>
  <si>
    <t>V-026</t>
  </si>
  <si>
    <t>V-027</t>
  </si>
  <si>
    <t>V-028</t>
  </si>
  <si>
    <t>V-029</t>
  </si>
  <si>
    <t>J-001</t>
  </si>
  <si>
    <t>V-030</t>
  </si>
  <si>
    <t>V-031</t>
  </si>
  <si>
    <t>V-032</t>
  </si>
  <si>
    <t>V-033</t>
  </si>
  <si>
    <t>V-034</t>
  </si>
  <si>
    <t>V-035</t>
  </si>
  <si>
    <t>V-036</t>
  </si>
  <si>
    <t>V-037</t>
  </si>
  <si>
    <t>V-038</t>
  </si>
  <si>
    <t>V-039</t>
  </si>
  <si>
    <t>V-040</t>
  </si>
  <si>
    <t>V-041</t>
  </si>
  <si>
    <t>V-042</t>
  </si>
  <si>
    <t>V-043</t>
  </si>
  <si>
    <t>V-044</t>
  </si>
  <si>
    <t>V-045</t>
  </si>
  <si>
    <t>V-046</t>
  </si>
  <si>
    <t>V-047</t>
  </si>
  <si>
    <t>V-048</t>
  </si>
  <si>
    <t>V-049</t>
  </si>
  <si>
    <t>V-050</t>
  </si>
  <si>
    <t>Clasificacion</t>
  </si>
  <si>
    <t>Prompt usado:</t>
  </si>
  <si>
    <t>Contexto: Tengo una tabla de ventas de videojuegos en Excel con las columnas Cantidad y Total_Venta. Objetivo: clasificar cada venta como Alta si el total es mayor o igual a $100.000 y se compraron 2 o más unidades; Media si el total es mayor o igual a $50.000; y Baja en los demás casos. Ejemplo: si Total_Venta = 120.000 y Cantidad = 2, debe devolver Venta Alta. Formato: devolveme una fórmula de Excel usando SI e Y.</t>
  </si>
  <si>
    <t>Previsión de ventas diarias</t>
  </si>
  <si>
    <t>La previsión usa las ventas del Dataset_Principal y proyecta los próximos 3 días.</t>
  </si>
  <si>
    <t>Periodo</t>
  </si>
  <si>
    <t>Valor_Historico</t>
  </si>
  <si>
    <t>Valor_Proyectado</t>
  </si>
  <si>
    <t>Limite_Inferior</t>
  </si>
  <si>
    <t>Limite_Superior</t>
  </si>
  <si>
    <t>Buscador de videojuegos</t>
  </si>
  <si>
    <t>Ingresá el ID del juego:</t>
  </si>
  <si>
    <t>Videojuego:</t>
  </si>
  <si>
    <t>Género:</t>
  </si>
  <si>
    <t>Plataforma:</t>
  </si>
  <si>
    <t>Precio:</t>
  </si>
  <si>
    <t>Justificación</t>
  </si>
  <si>
    <t>Elegí clasificar las ventas en altas, medias y bajas porque permite identificar de forma rápida qué operaciones tienen mayor importancia para una tienda de videojuegos.</t>
  </si>
  <si>
    <t>La previsión se hizo para 3 días futuros porque el dataset es pequeño y tiene información diaria; me pareció más realista hacer una proyección corta que intentar estimar muchos meses.</t>
  </si>
  <si>
    <t>El buscador permite ingresar el ID de un juego y obtener automáticamente su nombre, género, plataforma y precio.</t>
  </si>
  <si>
    <t>Las fórmulas están protegidas para evitar cambios accidentales y la celda de búsqueda queda habilitada para el usuario.</t>
  </si>
  <si>
    <t>Videojuego</t>
  </si>
  <si>
    <t>Genero</t>
  </si>
  <si>
    <t>Plataforma</t>
  </si>
  <si>
    <t>Precio_Unitario</t>
  </si>
  <si>
    <t>Minecraft</t>
  </si>
  <si>
    <t>Sandbox</t>
  </si>
  <si>
    <t>PC</t>
  </si>
  <si>
    <t>EA Sports FC 26</t>
  </si>
  <si>
    <t>Deportes</t>
  </si>
  <si>
    <t>PS5</t>
  </si>
  <si>
    <t>Mario Kart 8 Deluxe</t>
  </si>
  <si>
    <t>Carreras</t>
  </si>
  <si>
    <t>Nintendo Switch</t>
  </si>
  <si>
    <t>Fortnite</t>
  </si>
  <si>
    <t>Battle Royale</t>
  </si>
  <si>
    <t>The Sims 4</t>
  </si>
  <si>
    <t>Simulación</t>
  </si>
  <si>
    <t>Grand Theft Auto V</t>
  </si>
  <si>
    <t>Acción</t>
  </si>
  <si>
    <t>Hogwarts Legacy</t>
  </si>
  <si>
    <t>Aventura</t>
  </si>
  <si>
    <t>Super Mario Bros. Wonder</t>
  </si>
  <si>
    <t>Plataformas</t>
  </si>
  <si>
    <t>Forza Horizon 5</t>
  </si>
  <si>
    <t>Xbox</t>
  </si>
  <si>
    <t>Stardew Valley</t>
  </si>
  <si>
    <t>Nombre</t>
  </si>
  <si>
    <t>Ciudad</t>
  </si>
  <si>
    <t>Martín</t>
  </si>
  <si>
    <t>La Plata</t>
  </si>
  <si>
    <t>Sofía</t>
  </si>
  <si>
    <t>Córdoba</t>
  </si>
  <si>
    <t>Lucas</t>
  </si>
  <si>
    <t>Rosario</t>
  </si>
  <si>
    <t>Camila</t>
  </si>
  <si>
    <t>Mendoza</t>
  </si>
  <si>
    <t>Tomás</t>
  </si>
  <si>
    <t>Valentina</t>
  </si>
  <si>
    <t>Mar del Plata</t>
  </si>
  <si>
    <t>Nicolás</t>
  </si>
  <si>
    <t>Buenos Aires</t>
  </si>
  <si>
    <t>Julieta</t>
  </si>
  <si>
    <t>Santa Fe</t>
  </si>
  <si>
    <t>Mateo</t>
  </si>
  <si>
    <t>Neuquén</t>
  </si>
  <si>
    <t>Agustina</t>
  </si>
  <si>
    <t>Tucumán</t>
  </si>
  <si>
    <t>REPORTE DE INSIGHTS – VENTAS DE VIDEOJUEGOS</t>
  </si>
  <si>
    <t>Análisis de las ventas registradas durante agosto de 2026</t>
  </si>
  <si>
    <t>KPI</t>
  </si>
  <si>
    <t>Valor</t>
  </si>
  <si>
    <t>Facturación total</t>
  </si>
  <si>
    <t>Cantidad de operaciones</t>
  </si>
  <si>
    <t>Ticket promedio</t>
  </si>
  <si>
    <t>Ventas altas</t>
  </si>
  <si>
    <t>Facturación de juegos de PS5</t>
  </si>
  <si>
    <t>REPORTE EJECUTIVO</t>
  </si>
  <si>
    <t>1. EVIDENCIA</t>
  </si>
  <si>
    <t>En las 50 ventas analizadas se facturaron $3.239.934, con un promedio de $64.799 por operación. Los juegos de PS5 sumaron $1.649.968, cerca del 51% del total. También se registraron 9 ventas clasificadas como altas.</t>
  </si>
  <si>
    <t>2. SIGNIFICADO</t>
  </si>
  <si>
    <t>Lo que más se destaca es que una parte importante de la facturación está concentrada en los juegos de PS5. Esto puede hacer que el resultado general dependa bastante de algunos títulos de mayor precio, mientras que otros juegos aportan menos dinero al total.</t>
  </si>
  <si>
    <t>3. IMPACTO</t>
  </si>
  <si>
    <t>En la proyección de los tres días siguientes, la venta diaria estimada baja de $76.224 a $72.688, aproximadamente un 4,6%. Si esta tendencia se mantiene, la facturación diaria podría disminuir y el negocio seguiría dependiendo mucho de los productos de mayor valor.</t>
  </si>
  <si>
    <t>4. ACCIÓN</t>
  </si>
  <si>
    <t>Una posible acción sería hacer promociones o combos con juegos pagos de otras plataformas para repartir mejor las ventas. Como meta inicial, se podría buscar un aumento del 10% en la facturación diaria promedio y revisar los resultados una vez por semana para ver si la estrategia funciona.</t>
  </si>
  <si>
    <t>Nota: la explicación del comportamiento es una interpretación posible a partir de los datos disponibles; no se cuenta con información de stock, promociones o costos para confirmar una causa.</t>
  </si>
  <si>
    <t>Facturación</t>
  </si>
  <si>
    <t>Segmento</t>
  </si>
  <si>
    <t>Operaciones</t>
  </si>
  <si>
    <t>Venta Alta</t>
  </si>
  <si>
    <t>Venta Media</t>
  </si>
  <si>
    <t>Venta Baja</t>
  </si>
  <si>
    <t>MATRIZ DE PRECIOS POR PLATAFORMA Y VIDEOJUEGO</t>
  </si>
  <si>
    <t>GTA V</t>
  </si>
  <si>
    <t>Objetivo</t>
  </si>
  <si>
    <t>Organizar precios usando dos criterios: plataforma y videojuego.</t>
  </si>
  <si>
    <t>Relación con el proyecto</t>
  </si>
  <si>
    <t>Los precios y plataformas provienen del catálogo de videojuegos usado en las entregas anteriores.</t>
  </si>
  <si>
    <t>Lectura</t>
  </si>
  <si>
    <t>Una celda vacía significa que esa combinación no forma parte del catálogo actual.</t>
  </si>
  <si>
    <t>BÚSQUEDA BIDIMENSIONAL DE PRECIOS</t>
  </si>
  <si>
    <t>Precio encontrado</t>
  </si>
  <si>
    <t>Interpretación</t>
  </si>
  <si>
    <t>La fórmula cruza la plataforma elegida con el videojuego y devuelve el precio correspondiente.</t>
  </si>
  <si>
    <t>Fórmula aplicada</t>
  </si>
  <si>
    <t>ÍNDICE + COINCIDIR + COINCIDIR</t>
  </si>
  <si>
    <t>Por qué es 2D</t>
  </si>
  <si>
    <t>Un COINCIDIR localiza la fila (plataforma) y el otro la columna (videojuego).</t>
  </si>
  <si>
    <t>VENCIMIENTOS DE OPERACIONES EN DÍAS HÁBILES</t>
  </si>
  <si>
    <t>ID Venta</t>
  </si>
  <si>
    <t>Fecha de venta</t>
  </si>
  <si>
    <t>Plazo (días hábiles)</t>
  </si>
  <si>
    <t>Vencimiento proyectado</t>
  </si>
  <si>
    <t>Feriados personalizados</t>
  </si>
  <si>
    <t>Cómo funciona</t>
  </si>
  <si>
    <t>DIA.LAB calcula el vencimiento contando solamente días hábiles y excluyendo los feriados cargados en F4:F8.</t>
  </si>
  <si>
    <t>Relación con la base</t>
  </si>
  <si>
    <t>Se usaron IDs y fechas de ventas del mismo proyecto de videojuegos.</t>
  </si>
  <si>
    <t>Uso</t>
  </si>
  <si>
    <t>Si se modifica la fecha o el plazo, el vencimiento se actualiza automáticamente.</t>
  </si>
  <si>
    <t>AUDITORÍA DE UNA TOTALIZACIÓN DE VENTAS</t>
  </si>
  <si>
    <t>Venta</t>
  </si>
  <si>
    <t>Total venta</t>
  </si>
  <si>
    <t>Observación</t>
  </si>
  <si>
    <t>Incluida</t>
  </si>
  <si>
    <t>Debe estar incluida</t>
  </si>
  <si>
    <t>Control</t>
  </si>
  <si>
    <t>Resultado</t>
  </si>
  <si>
    <t>Qué ocurre</t>
  </si>
  <si>
    <t>Corrección</t>
  </si>
  <si>
    <t>Total con referencia incompleta</t>
  </si>
  <si>
    <t>La fórmula suma C4:C6 y deja afuera C7.</t>
  </si>
  <si>
    <t>Ampliar el rango hasta C7.</t>
  </si>
  <si>
    <t>Total corregido</t>
  </si>
  <si>
    <t>Incluye las cuatro ventas del ejemplo.</t>
  </si>
  <si>
    <t>SUMA C4:C7.</t>
  </si>
  <si>
    <t>Diferencia detectada</t>
  </si>
  <si>
    <t>Muestra cuánto dinero se estaba omitiendo.</t>
  </si>
  <si>
    <t>EVIDENCIA DE RASTREAR PRECEDENTES</t>
  </si>
  <si>
    <r>
      <t>Conclusión:</t>
    </r>
    <r>
      <rPr>
        <sz val="11"/>
        <rFont val="Carlito"/>
      </rPr>
      <t xml:space="preserve"> “Al utilizar Rastrear precedentes se observó que la fórmula del total incluía las celdas C4:C6 y dejaba afuera C7. Al corregir el rango, el total pasó de $214.996 a $334.994.”</t>
    </r>
  </si>
  <si>
    <t>CÁLCULO DE IMPUESTO Y DESCUENTO CON LET</t>
  </si>
  <si>
    <t>Dato</t>
  </si>
  <si>
    <t>Venta tomada como ejemplo</t>
  </si>
  <si>
    <t>Descuento aplicado</t>
  </si>
  <si>
    <t>Tasa de impuesto</t>
  </si>
  <si>
    <t>Costo de envío</t>
  </si>
  <si>
    <t>Referencia</t>
  </si>
  <si>
    <t>Ejemplo basado en una operación del Dataset_Principal.</t>
  </si>
  <si>
    <t>Versión</t>
  </si>
  <si>
    <t>Fórmula original</t>
  </si>
  <si>
    <t>Fórmula refactorizada con LET</t>
  </si>
  <si>
    <t>Diferencia entre resultados</t>
  </si>
  <si>
    <t>Qué aporta LET</t>
  </si>
  <si>
    <t>1.</t>
  </si>
  <si>
    <t>Permite asignar nombres a las partes del cálculo.</t>
  </si>
  <si>
    <t>2.</t>
  </si>
  <si>
    <t>Evita repetir operaciones dentro de una fórmula larga.</t>
  </si>
  <si>
    <t>3.</t>
  </si>
  <si>
    <t>Facilita revisar de dónde sale cada resultado.</t>
  </si>
  <si>
    <t>4.</t>
  </si>
  <si>
    <t>La fórmula original y la versión con LET deben producir el mismo total.</t>
  </si>
  <si>
    <t>Cliente</t>
  </si>
  <si>
    <t>Total general</t>
  </si>
  <si>
    <t>Suma de Total_Venta</t>
  </si>
  <si>
    <t>Facturación por Videojuego</t>
  </si>
  <si>
    <t>Facturación por Plataforma</t>
  </si>
  <si>
    <t>Facturación por Ciudad</t>
  </si>
  <si>
    <t>Empresa</t>
  </si>
  <si>
    <t>GameTech SA</t>
  </si>
  <si>
    <t>Pixel Corp</t>
  </si>
  <si>
    <t>NextPlay SRL</t>
  </si>
  <si>
    <t>Digital Games SA</t>
  </si>
  <si>
    <t>PlayZone SRL</t>
  </si>
  <si>
    <t>Nova Gaming</t>
  </si>
  <si>
    <t>LevelUp SA</t>
  </si>
  <si>
    <t>VirtualPlay SRL</t>
  </si>
  <si>
    <t>GameStore SA</t>
  </si>
  <si>
    <t>ID_Simulacion</t>
  </si>
  <si>
    <t>Monto</t>
  </si>
  <si>
    <t>Tasa_Anual</t>
  </si>
  <si>
    <t>Plazo_Meses</t>
  </si>
  <si>
    <t>Cuota_Mensual</t>
  </si>
  <si>
    <t>Valor_Futuro</t>
  </si>
  <si>
    <t>S-001</t>
  </si>
  <si>
    <t>S-002</t>
  </si>
  <si>
    <t>S-003</t>
  </si>
  <si>
    <t>SIMULADOR FINANCIERO</t>
  </si>
  <si>
    <t>ID Cliente</t>
  </si>
  <si>
    <t>Tasa Anual</t>
  </si>
  <si>
    <t>Plazo (meses)</t>
  </si>
  <si>
    <t>Cuota Mensual</t>
  </si>
  <si>
    <t>Valor Futuro</t>
  </si>
  <si>
    <t xml:space="preserve"> </t>
  </si>
  <si>
    <t>S-004</t>
  </si>
  <si>
    <t>S-005</t>
  </si>
  <si>
    <t>Detalles para Suma de Total_Venta - Videojuego: Minecraft</t>
  </si>
  <si>
    <t>EVALUACIÓN FINANCIERA – PROYECTO DE EXPANSIÓN</t>
  </si>
  <si>
    <t>Inversión inicial</t>
  </si>
  <si>
    <t>Tasa anual préstamo</t>
  </si>
  <si>
    <t>Plazo préstamo (meses)</t>
  </si>
  <si>
    <t>Cuota mensual</t>
  </si>
  <si>
    <t>Costo de capital anual</t>
  </si>
  <si>
    <t>Año</t>
  </si>
  <si>
    <t>Flujo de caja</t>
  </si>
  <si>
    <t>VAN</t>
  </si>
  <si>
    <t>TIR</t>
  </si>
  <si>
    <t>Conclusión</t>
  </si>
  <si>
    <t>El proyecto es viable: presenta un VAN positivo y una TIR superior al costo de capital.</t>
  </si>
  <si>
    <t>Etiquetas de fila</t>
  </si>
  <si>
    <t>Etiquetas de columna</t>
  </si>
  <si>
    <t>Total Suma de Total_Venta</t>
  </si>
  <si>
    <t>Total Suma de Total_Venta2</t>
  </si>
  <si>
    <t>Suma de Total_Venta2</t>
  </si>
  <si>
    <t>Media</t>
  </si>
  <si>
    <t>Error típico</t>
  </si>
  <si>
    <t>Mediana</t>
  </si>
  <si>
    <t>Moda</t>
  </si>
  <si>
    <t>Desviación estándar</t>
  </si>
  <si>
    <t>Varianza de la muestra</t>
  </si>
  <si>
    <t>Curtosis</t>
  </si>
  <si>
    <t>Coeficiente de asimetría</t>
  </si>
  <si>
    <t>Rango</t>
  </si>
  <si>
    <t>Mínimo</t>
  </si>
  <si>
    <t>Máximo</t>
  </si>
  <si>
    <t>Suma</t>
  </si>
  <si>
    <t>Cuenta</t>
  </si>
  <si>
    <t>SIMULACIÓN FINANCIERA</t>
  </si>
  <si>
    <t>Precio promedio</t>
  </si>
  <si>
    <t>Unidades vendidas</t>
  </si>
  <si>
    <t>Costo variable por unidad</t>
  </si>
  <si>
    <t>Costos fijos</t>
  </si>
  <si>
    <t>Ingresos</t>
  </si>
  <si>
    <t>Costo variable total</t>
  </si>
  <si>
    <t>Beneficio neto</t>
  </si>
  <si>
    <t>$B$3</t>
  </si>
  <si>
    <t>$B$4</t>
  </si>
  <si>
    <t>$B$5</t>
  </si>
  <si>
    <t>$B$6</t>
  </si>
  <si>
    <t>$B$10</t>
  </si>
  <si>
    <t>PESIMISTA</t>
  </si>
  <si>
    <t>Creado por Mateo Guerrino el 1/10/2026</t>
  </si>
  <si>
    <t>BASE</t>
  </si>
  <si>
    <t>Optimista</t>
  </si>
  <si>
    <t>Celdas cambiantes:</t>
  </si>
  <si>
    <t>Valores actuales:</t>
  </si>
  <si>
    <t>Celdas de resultado:</t>
  </si>
  <si>
    <t>Notas: La columna de valores actuales representa los valores de las celdas cambiantes</t>
  </si>
  <si>
    <t>en el momento en que se creó el Informe resumen de escenario. Las celdas cambiantes de</t>
  </si>
  <si>
    <t>cada escenario se muestran en gris.</t>
  </si>
  <si>
    <t>Resumen del escenarios</t>
  </si>
  <si>
    <t>DASHBOARD EJECUTIVO DE VENTAS</t>
  </si>
  <si>
    <t>VENTAS TOTALES</t>
  </si>
  <si>
    <t>TICKET PROMEDIO</t>
  </si>
  <si>
    <t>BENEFICIO PROYECTADO</t>
  </si>
  <si>
    <t>Sum of Total_Venta</t>
  </si>
  <si>
    <t>Ticket Promedio</t>
  </si>
  <si>
    <t>Total Venta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</si>
</sst>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164" formatCode="dd/mm/yyyy"/>
    <numFmt numFmtId="165" formatCode="\$#,##0"/>
    <numFmt numFmtId="166" formatCode="\$#,##0.00"/>
    <numFmt numFmtId="167" formatCode="&quot;$&quot;\ #,##0.00"/>
    <numFmt numFmtId="168" formatCode="\$\ #,##0.00;\-\$\ #,##0.00;\$\ #,##0.00"/>
    <numFmt numFmtId="169" formatCode="_-[$$-2C0A]\ * #,##0.00_-;\-[$$-2C0A]\ * #,##0.00_-;_-[$$-2C0A]\ * &quot;-&quot;??_-;_-@_-"/>
  </numFmts>
  <fonts count="33">
    <font>
      <sz val="11"/>
      <name val="Carlito"/>
    </font>
    <font>
      <b/>
      <sz val="11"/>
      <color rgb="FFFFFFFF"/>
      <name val="Carlito"/>
    </font>
    <font>
      <b/>
      <sz val="11"/>
      <color rgb="FFFFFFFF"/>
      <name val="Carlito"/>
    </font>
    <font>
      <b/>
      <sz val="11"/>
      <name val="Carlito"/>
    </font>
    <font>
      <b/>
      <sz val="14"/>
      <color rgb="FFFFFFFF"/>
      <name val="Carlito"/>
    </font>
    <font>
      <b/>
      <sz val="11"/>
      <color rgb="FFFFFFFF"/>
      <name val="Calibri"/>
    </font>
    <font>
      <i/>
      <sz val="11"/>
      <color rgb="FF1F1F1F"/>
      <name val="Calibri"/>
    </font>
    <font>
      <sz val="11"/>
      <name val="Calibri"/>
    </font>
    <font>
      <b/>
      <sz val="11"/>
      <color rgb="FF1F4E78"/>
      <name val="Calibri"/>
    </font>
    <font>
      <b/>
      <sz val="16"/>
      <color rgb="FFFFFFFF"/>
      <name val="Calibri"/>
    </font>
    <font>
      <i/>
      <sz val="10"/>
      <color rgb="FF1F1F1F"/>
      <name val="Calibri"/>
    </font>
    <font>
      <b/>
      <sz val="13"/>
      <color rgb="FFFFFFFF"/>
      <name val="Calibri"/>
    </font>
    <font>
      <b/>
      <sz val="11"/>
      <name val="Calibri"/>
    </font>
    <font>
      <i/>
      <sz val="9"/>
      <name val="Calibri"/>
    </font>
    <font>
      <b/>
      <sz val="14"/>
      <color rgb="FFFFFFFF"/>
      <name val="Carlito"/>
    </font>
    <font>
      <b/>
      <sz val="11"/>
      <name val="Carlito"/>
    </font>
    <font>
      <b/>
      <sz val="11"/>
      <color rgb="FF666666"/>
      <name val="Carlito"/>
    </font>
    <font>
      <u/>
      <sz val="11"/>
      <name val="Carlito"/>
    </font>
    <font>
      <sz val="11"/>
      <color rgb="FF000000"/>
      <name val="Carlito"/>
    </font>
    <font>
      <sz val="10"/>
      <name val="Arial Unicode MS"/>
    </font>
    <font>
      <sz val="11"/>
      <name val="Calibri"/>
      <family val="2"/>
    </font>
    <font>
      <i/>
      <sz val="11"/>
      <name val="Carlito"/>
    </font>
    <font>
      <b/>
      <sz val="12"/>
      <color indexed="9"/>
      <name val="Carlito"/>
    </font>
    <font>
      <b/>
      <sz val="11"/>
      <color indexed="8"/>
      <name val="Carlito"/>
    </font>
    <font>
      <b/>
      <sz val="11"/>
      <color indexed="18"/>
      <name val="Carlito"/>
    </font>
    <font>
      <sz val="10"/>
      <color indexed="9"/>
      <name val="Carlito"/>
    </font>
    <font>
      <sz val="8"/>
      <name val="Carlito"/>
    </font>
    <font>
      <sz val="11"/>
      <name val="Carlito"/>
    </font>
    <font>
      <b/>
      <sz val="20"/>
      <name val="Carlito"/>
    </font>
    <font>
      <b/>
      <sz val="10"/>
      <color theme="0"/>
      <name val="Arial Unicode MS"/>
    </font>
    <font>
      <sz val="18"/>
      <color theme="0"/>
      <name val="Arial Unicode MS"/>
    </font>
    <font>
      <sz val="18"/>
      <color theme="0"/>
      <name val="Carlito"/>
    </font>
    <font>
      <sz val="11"/>
      <color theme="1"/>
      <name val="Carlito"/>
    </font>
  </fonts>
  <fills count="20">
    <fill>
      <patternFill patternType="none"/>
    </fill>
    <fill>
      <patternFill patternType="gray125"/>
    </fill>
    <fill>
      <patternFill patternType="solid">
        <fgColor rgb="FF4472C4"/>
      </patternFill>
    </fill>
    <fill>
      <patternFill patternType="solid">
        <fgColor rgb="FF4472C4"/>
      </patternFill>
    </fill>
    <fill>
      <patternFill patternType="solid">
        <fgColor rgb="FFFFF2CC"/>
      </patternFill>
    </fill>
    <fill>
      <patternFill patternType="solid">
        <fgColor rgb="FFFFFDF2"/>
      </patternFill>
    </fill>
    <fill>
      <patternFill patternType="solid">
        <fgColor rgb="FFE2F0D9"/>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79998168889431442"/>
        <bgColor theme="4" tint="0.79998168889431442"/>
      </patternFill>
    </fill>
    <fill>
      <patternFill patternType="solid">
        <fgColor theme="4"/>
        <bgColor indexed="64"/>
      </patternFill>
    </fill>
  </fills>
  <borders count="11">
    <border>
      <left/>
      <right/>
      <top/>
      <bottom/>
      <diagonal/>
    </border>
    <border>
      <left/>
      <right/>
      <top/>
      <bottom/>
      <diagonal/>
    </border>
    <border>
      <left/>
      <right/>
      <top/>
      <bottom style="thin">
        <color rgb="FFD9E1F2"/>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1"/>
    <xf numFmtId="44" fontId="27" fillId="0" borderId="0" applyFont="0" applyFill="0" applyBorder="0" applyAlignment="0" applyProtection="0"/>
  </cellStyleXfs>
  <cellXfs count="87">
    <xf numFmtId="0" fontId="0" fillId="0" borderId="0" xfId="0" applyBorder="1"/>
    <xf numFmtId="0" fontId="1" fillId="2" borderId="0" xfId="0" applyFont="1" applyFill="1" applyBorder="1" applyAlignment="1">
      <alignment horizontal="center" vertical="center"/>
    </xf>
    <xf numFmtId="164" fontId="0" fillId="0" borderId="0" xfId="0" applyNumberFormat="1" applyBorder="1"/>
    <xf numFmtId="165" fontId="0" fillId="0" borderId="0" xfId="0" applyNumberFormat="1" applyBorder="1"/>
    <xf numFmtId="0" fontId="0" fillId="0" borderId="0" xfId="0" applyBorder="1" applyAlignment="1">
      <alignment wrapText="1"/>
    </xf>
    <xf numFmtId="0" fontId="2" fillId="3" borderId="2" xfId="0" applyFont="1" applyFill="1" applyBorder="1" applyAlignment="1">
      <alignment horizontal="center"/>
    </xf>
    <xf numFmtId="0" fontId="3" fillId="4" borderId="0" xfId="0" applyFont="1" applyFill="1" applyBorder="1"/>
    <xf numFmtId="0" fontId="4" fillId="3" borderId="0" xfId="0" applyFont="1" applyFill="1" applyBorder="1"/>
    <xf numFmtId="0" fontId="3" fillId="0" borderId="0" xfId="0" applyFont="1" applyBorder="1"/>
    <xf numFmtId="0" fontId="0" fillId="0" borderId="0" xfId="0" applyBorder="1" applyAlignment="1">
      <alignment vertical="top" wrapText="1"/>
    </xf>
    <xf numFmtId="0" fontId="7" fillId="0" borderId="0" xfId="0" applyFont="1" applyBorder="1"/>
    <xf numFmtId="0" fontId="5" fillId="9" borderId="0" xfId="0" applyFont="1" applyFill="1" applyBorder="1" applyAlignment="1">
      <alignment horizontal="center" vertical="center"/>
    </xf>
    <xf numFmtId="0" fontId="7" fillId="0" borderId="0" xfId="0" applyFont="1" applyBorder="1" applyAlignment="1">
      <alignment vertical="center" wrapText="1"/>
    </xf>
    <xf numFmtId="0" fontId="7" fillId="0" borderId="0" xfId="0" applyFont="1" applyBorder="1" applyAlignment="1">
      <alignment vertical="center"/>
    </xf>
    <xf numFmtId="165" fontId="7" fillId="0" borderId="0" xfId="0" applyNumberFormat="1" applyFont="1" applyBorder="1" applyAlignment="1">
      <alignment vertical="center"/>
    </xf>
    <xf numFmtId="1" fontId="7" fillId="0" borderId="0" xfId="0" applyNumberFormat="1" applyFont="1" applyBorder="1" applyAlignment="1">
      <alignment vertical="center"/>
    </xf>
    <xf numFmtId="0" fontId="12" fillId="0" borderId="0" xfId="0" applyFont="1" applyBorder="1" applyAlignment="1">
      <alignment vertical="center" wrapText="1"/>
    </xf>
    <xf numFmtId="0" fontId="13" fillId="0" borderId="0" xfId="0" applyFont="1" applyBorder="1" applyAlignment="1">
      <alignment vertical="center" wrapText="1"/>
    </xf>
    <xf numFmtId="0" fontId="14" fillId="10" borderId="0" xfId="0" applyFont="1" applyFill="1" applyBorder="1" applyAlignment="1">
      <alignment horizontal="center" vertical="center" wrapText="1"/>
    </xf>
    <xf numFmtId="0" fontId="15" fillId="11" borderId="0" xfId="0" applyFont="1" applyFill="1" applyBorder="1" applyAlignment="1">
      <alignment wrapText="1"/>
    </xf>
    <xf numFmtId="0" fontId="15" fillId="11" borderId="0" xfId="0" applyFont="1" applyFill="1" applyBorder="1" applyAlignment="1">
      <alignment horizontal="center" wrapText="1"/>
    </xf>
    <xf numFmtId="0" fontId="15" fillId="0" borderId="0" xfId="0" applyFont="1" applyBorder="1" applyAlignment="1">
      <alignment wrapText="1"/>
    </xf>
    <xf numFmtId="0" fontId="0" fillId="12" borderId="0" xfId="0" applyFill="1" applyBorder="1" applyAlignment="1">
      <alignment wrapText="1"/>
    </xf>
    <xf numFmtId="0" fontId="15" fillId="12" borderId="0" xfId="0" applyFont="1" applyFill="1" applyBorder="1" applyAlignment="1">
      <alignment wrapText="1"/>
    </xf>
    <xf numFmtId="165" fontId="0" fillId="0" borderId="0" xfId="0" applyNumberFormat="1" applyBorder="1" applyAlignment="1">
      <alignment wrapText="1"/>
    </xf>
    <xf numFmtId="165" fontId="0" fillId="13" borderId="0" xfId="0" applyNumberFormat="1" applyFill="1" applyBorder="1" applyAlignment="1">
      <alignment wrapText="1"/>
    </xf>
    <xf numFmtId="164" fontId="0" fillId="0" borderId="0" xfId="0" applyNumberFormat="1" applyBorder="1" applyAlignment="1">
      <alignment wrapText="1"/>
    </xf>
    <xf numFmtId="9" fontId="0" fillId="0" borderId="0" xfId="0" applyNumberFormat="1" applyBorder="1" applyAlignment="1">
      <alignment wrapText="1"/>
    </xf>
    <xf numFmtId="166" fontId="0" fillId="0" borderId="0" xfId="0" applyNumberFormat="1" applyBorder="1" applyAlignment="1">
      <alignment wrapText="1"/>
    </xf>
    <xf numFmtId="0" fontId="0" fillId="4" borderId="0" xfId="0" applyFill="1" applyBorder="1" applyProtection="1">
      <protection locked="0"/>
    </xf>
    <xf numFmtId="0" fontId="0" fillId="6" borderId="0" xfId="0" applyFill="1" applyBorder="1" applyProtection="1">
      <protection hidden="1"/>
    </xf>
    <xf numFmtId="165" fontId="0" fillId="6" borderId="0" xfId="0" applyNumberFormat="1" applyFill="1" applyBorder="1" applyProtection="1">
      <protection hidden="1"/>
    </xf>
    <xf numFmtId="14" fontId="0" fillId="0" borderId="0" xfId="0" applyNumberFormat="1" applyBorder="1"/>
    <xf numFmtId="0" fontId="17" fillId="0" borderId="0" xfId="0" applyFont="1" applyBorder="1"/>
    <xf numFmtId="0" fontId="0" fillId="0" borderId="0" xfId="0" pivotButton="1" applyBorder="1"/>
    <xf numFmtId="0" fontId="0" fillId="0" borderId="0" xfId="0" applyBorder="1" applyAlignment="1">
      <alignment horizontal="left"/>
    </xf>
    <xf numFmtId="0" fontId="0" fillId="0" borderId="1" xfId="0"/>
    <xf numFmtId="9" fontId="0" fillId="0" borderId="0" xfId="0" applyNumberFormat="1" applyBorder="1"/>
    <xf numFmtId="8" fontId="0" fillId="0" borderId="0" xfId="0" applyNumberFormat="1" applyBorder="1"/>
    <xf numFmtId="14" fontId="0" fillId="0" borderId="1" xfId="0" applyNumberFormat="1"/>
    <xf numFmtId="9" fontId="0" fillId="0" borderId="1" xfId="0" applyNumberFormat="1"/>
    <xf numFmtId="0" fontId="0" fillId="0" borderId="0" xfId="0" applyBorder="1" applyProtection="1">
      <protection locked="0"/>
    </xf>
    <xf numFmtId="9" fontId="0" fillId="0" borderId="0" xfId="0" applyNumberFormat="1" applyBorder="1" applyProtection="1">
      <protection locked="0"/>
    </xf>
    <xf numFmtId="0" fontId="19" fillId="0" borderId="0" xfId="0" applyFont="1" applyBorder="1"/>
    <xf numFmtId="0" fontId="20" fillId="0" borderId="3" xfId="0" applyFont="1" applyBorder="1"/>
    <xf numFmtId="0" fontId="20" fillId="0" borderId="3" xfId="0" pivotButton="1" applyFont="1" applyBorder="1"/>
    <xf numFmtId="0" fontId="20" fillId="0" borderId="3" xfId="0" applyFont="1" applyBorder="1" applyAlignment="1">
      <alignment horizontal="left"/>
    </xf>
    <xf numFmtId="10" fontId="20" fillId="0" borderId="3" xfId="0" applyNumberFormat="1" applyFont="1" applyBorder="1"/>
    <xf numFmtId="167" fontId="20" fillId="0" borderId="3" xfId="0" applyNumberFormat="1" applyFont="1" applyBorder="1"/>
    <xf numFmtId="0" fontId="0" fillId="0" borderId="5" xfId="0" applyBorder="1"/>
    <xf numFmtId="0" fontId="0" fillId="0" borderId="6" xfId="0" applyBorder="1"/>
    <xf numFmtId="0" fontId="21" fillId="0" borderId="7" xfId="0" applyFont="1" applyBorder="1" applyAlignment="1">
      <alignment horizontal="centerContinuous"/>
    </xf>
    <xf numFmtId="0" fontId="22" fillId="15" borderId="8" xfId="0" applyFont="1" applyFill="1" applyBorder="1" applyAlignment="1">
      <alignment horizontal="left"/>
    </xf>
    <xf numFmtId="0" fontId="22" fillId="15" borderId="4" xfId="0" applyFont="1" applyFill="1" applyBorder="1" applyAlignment="1">
      <alignment horizontal="left"/>
    </xf>
    <xf numFmtId="0" fontId="23" fillId="16" borderId="1" xfId="0" applyFont="1" applyFill="1" applyAlignment="1">
      <alignment horizontal="left"/>
    </xf>
    <xf numFmtId="0" fontId="24" fillId="16" borderId="6" xfId="0" applyFont="1" applyFill="1" applyBorder="1" applyAlignment="1">
      <alignment horizontal="left"/>
    </xf>
    <xf numFmtId="0" fontId="23" fillId="16" borderId="5" xfId="0" applyFont="1" applyFill="1" applyBorder="1" applyAlignment="1">
      <alignment horizontal="left"/>
    </xf>
    <xf numFmtId="0" fontId="25" fillId="15" borderId="4" xfId="0" applyFont="1" applyFill="1" applyBorder="1" applyAlignment="1">
      <alignment horizontal="right"/>
    </xf>
    <xf numFmtId="0" fontId="25" fillId="15" borderId="8" xfId="0" applyFont="1" applyFill="1" applyBorder="1" applyAlignment="1">
      <alignment horizontal="right"/>
    </xf>
    <xf numFmtId="0" fontId="0" fillId="17" borderId="1" xfId="0" applyFill="1"/>
    <xf numFmtId="0" fontId="26" fillId="0" borderId="1" xfId="0" applyFont="1" applyAlignment="1">
      <alignment vertical="top" wrapText="1"/>
    </xf>
    <xf numFmtId="168" fontId="0" fillId="0" borderId="0" xfId="0" applyNumberFormat="1" applyBorder="1"/>
    <xf numFmtId="14" fontId="0" fillId="0" borderId="0" xfId="0" applyNumberFormat="1" applyBorder="1" applyAlignment="1">
      <alignment horizontal="left"/>
    </xf>
    <xf numFmtId="0" fontId="32" fillId="18" borderId="9" xfId="0" applyFont="1" applyFill="1" applyBorder="1"/>
    <xf numFmtId="0" fontId="32" fillId="0" borderId="9" xfId="0" applyFont="1" applyBorder="1"/>
    <xf numFmtId="165" fontId="32" fillId="18" borderId="10" xfId="0" applyNumberFormat="1" applyFont="1" applyFill="1" applyBorder="1"/>
    <xf numFmtId="165" fontId="32" fillId="0" borderId="10" xfId="0" applyNumberFormat="1" applyFont="1" applyBorder="1"/>
    <xf numFmtId="0" fontId="28" fillId="0" borderId="0" xfId="0" applyFont="1" applyBorder="1" applyAlignment="1">
      <alignment horizontal="center" vertical="center"/>
    </xf>
    <xf numFmtId="0" fontId="0" fillId="0" borderId="0" xfId="0" applyBorder="1" applyAlignment="1">
      <alignment horizontal="center" vertical="center"/>
    </xf>
    <xf numFmtId="169" fontId="30" fillId="19" borderId="0" xfId="1" applyNumberFormat="1" applyFont="1" applyFill="1" applyBorder="1" applyAlignment="1">
      <alignment vertical="center"/>
    </xf>
    <xf numFmtId="0" fontId="29" fillId="19" borderId="0" xfId="0" applyFont="1" applyFill="1" applyBorder="1" applyAlignment="1">
      <alignment horizontal="center"/>
    </xf>
    <xf numFmtId="169" fontId="31" fillId="19" borderId="0" xfId="0" applyNumberFormat="1" applyFont="1" applyFill="1" applyBorder="1" applyAlignment="1">
      <alignment horizontal="center"/>
    </xf>
    <xf numFmtId="169" fontId="31" fillId="19" borderId="0" xfId="1" applyNumberFormat="1" applyFont="1" applyFill="1" applyBorder="1" applyAlignment="1">
      <alignment horizontal="center"/>
    </xf>
    <xf numFmtId="0" fontId="0" fillId="5" borderId="1" xfId="0" applyFill="1" applyAlignment="1">
      <alignment vertical="top" wrapText="1"/>
    </xf>
    <xf numFmtId="0" fontId="0" fillId="0" borderId="1" xfId="0"/>
    <xf numFmtId="0" fontId="0" fillId="0" borderId="0" xfId="0" applyBorder="1"/>
    <xf numFmtId="0" fontId="0" fillId="0" borderId="1" xfId="0" applyAlignment="1">
      <alignment horizontal="center"/>
    </xf>
    <xf numFmtId="0" fontId="4" fillId="3" borderId="1" xfId="0" applyFont="1" applyFill="1" applyAlignment="1">
      <alignment horizontal="center"/>
    </xf>
    <xf numFmtId="0" fontId="9" fillId="7" borderId="0" xfId="0" applyFont="1" applyFill="1" applyBorder="1" applyAlignment="1">
      <alignment horizontal="center" vertical="center"/>
    </xf>
    <xf numFmtId="0" fontId="10" fillId="8" borderId="0" xfId="0" applyFont="1" applyFill="1" applyBorder="1" applyAlignment="1">
      <alignment horizontal="center" vertical="center"/>
    </xf>
    <xf numFmtId="0" fontId="6" fillId="8" borderId="0" xfId="0" applyFont="1" applyFill="1" applyBorder="1" applyAlignment="1">
      <alignment horizontal="center"/>
    </xf>
    <xf numFmtId="0" fontId="11" fillId="9" borderId="0" xfId="0" applyFont="1" applyFill="1" applyBorder="1" applyAlignment="1">
      <alignment horizontal="center" vertical="center"/>
    </xf>
    <xf numFmtId="0" fontId="5" fillId="9" borderId="0" xfId="0" applyFont="1" applyFill="1" applyBorder="1" applyAlignment="1">
      <alignment horizontal="center" vertical="center"/>
    </xf>
    <xf numFmtId="0" fontId="8" fillId="8" borderId="0" xfId="0" applyFont="1" applyFill="1" applyBorder="1" applyAlignment="1">
      <alignment vertical="center" wrapText="1"/>
    </xf>
    <xf numFmtId="0" fontId="7" fillId="0" borderId="0" xfId="0" applyFont="1" applyBorder="1" applyAlignment="1">
      <alignment vertical="center" wrapText="1"/>
    </xf>
    <xf numFmtId="0" fontId="14" fillId="10" borderId="0" xfId="0" applyFont="1" applyFill="1" applyBorder="1" applyAlignment="1">
      <alignment horizontal="center" vertical="center" wrapText="1"/>
    </xf>
    <xf numFmtId="0" fontId="16" fillId="14" borderId="0" xfId="0" applyFont="1" applyFill="1" applyBorder="1" applyAlignment="1">
      <alignment horizontal="center" vertical="center" wrapText="1"/>
    </xf>
  </cellXfs>
  <cellStyles count="2">
    <cellStyle name="Moneda" xfId="1" builtinId="4"/>
    <cellStyle name="Normal" xfId="0" builtinId="0"/>
  </cellStyles>
  <dxfs count="38">
    <dxf>
      <font>
        <color rgb="FF006100"/>
      </font>
      <fill>
        <patternFill>
          <bgColor rgb="FFC6EFCE"/>
        </patternFill>
      </fill>
    </dxf>
    <dxf>
      <numFmt numFmtId="167"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font>
        <name val="Calibri"/>
        <family val="2"/>
      </font>
    </dxf>
    <dxf>
      <numFmt numFmtId="13" formatCode="0%"/>
    </dxf>
    <dxf>
      <numFmt numFmtId="19" formatCode="d/m/yyyy"/>
    </dxf>
    <dxf>
      <numFmt numFmtId="19" formatCode="d/m/yyyy"/>
    </dxf>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connections" Target="connections.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63"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microsoft.com/office/2007/relationships/slicerCache" Target="slicerCaches/slicerCache4.xml"/><Relationship Id="rId40" Type="http://schemas.microsoft.com/office/2007/relationships/slicerCache" Target="slicerCaches/slicerCache7.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1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07/relationships/slicerCache" Target="slicerCaches/slicerCache2.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7.xml"/><Relationship Id="rId38" Type="http://schemas.microsoft.com/office/2007/relationships/slicerCache" Target="slicerCaches/slicerCache5.xml"/><Relationship Id="rId46" Type="http://schemas.openxmlformats.org/officeDocument/2006/relationships/calcChain" Target="calcChain.xml"/><Relationship Id="rId59" Type="http://schemas.openxmlformats.org/officeDocument/2006/relationships/customXml" Target="../customXml/item13.xml"/><Relationship Id="rId20" Type="http://schemas.openxmlformats.org/officeDocument/2006/relationships/worksheet" Target="worksheets/sheet20.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microsoft.com/office/2007/relationships/slicerCache" Target="slicerCaches/slicerCache3.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5.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[Entrega_Dashboard_GuerrinoMateo.xlsx]Dashboard Final!TablaDinámica2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0" i="0" u="none" strike="noStrike" baseline="0"/>
              <a:t>Las ventas fluctúan fuertemente y no muestran una tendencia sostenida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Final'!$Q$7</c:f>
              <c:strCache>
                <c:ptCount val="1"/>
                <c:pt idx="0">
                  <c:v>Total</c:v>
                </c:pt>
              </c:strCache>
            </c:strRef>
          </c:tx>
          <c:spPr>
            <a:ln w="28575" cap="rnd">
              <a:solidFill>
                <a:schemeClr val="accent1"/>
              </a:solidFill>
              <a:round/>
            </a:ln>
            <a:effectLst/>
          </c:spPr>
          <c:marker>
            <c:symbol val="none"/>
          </c:marker>
          <c:cat>
            <c:strRef>
              <c:f>'Dashboard Final'!$P$8:$P$39</c:f>
              <c:strCache>
                <c:ptCount val="31"/>
                <c:pt idx="0">
                  <c:v>1/8/2026</c:v>
                </c:pt>
                <c:pt idx="1">
                  <c:v>2/8/2026</c:v>
                </c:pt>
                <c:pt idx="2">
                  <c:v>3/8/2026</c:v>
                </c:pt>
                <c:pt idx="3">
                  <c:v>4/8/2026</c:v>
                </c:pt>
                <c:pt idx="4">
                  <c:v>5/8/2026</c:v>
                </c:pt>
                <c:pt idx="5">
                  <c:v>6/8/2026</c:v>
                </c:pt>
                <c:pt idx="6">
                  <c:v>7/8/2026</c:v>
                </c:pt>
                <c:pt idx="7">
                  <c:v>8/8/2026</c:v>
                </c:pt>
                <c:pt idx="8">
                  <c:v>9/8/2026</c:v>
                </c:pt>
                <c:pt idx="9">
                  <c:v>10/8/2026</c:v>
                </c:pt>
                <c:pt idx="10">
                  <c:v>11/8/2026</c:v>
                </c:pt>
                <c:pt idx="11">
                  <c:v>12/8/2026</c:v>
                </c:pt>
                <c:pt idx="12">
                  <c:v>13/8/2026</c:v>
                </c:pt>
                <c:pt idx="13">
                  <c:v>14/8/2026</c:v>
                </c:pt>
                <c:pt idx="14">
                  <c:v>15/8/2026</c:v>
                </c:pt>
                <c:pt idx="15">
                  <c:v>16/8/2026</c:v>
                </c:pt>
                <c:pt idx="16">
                  <c:v>17/8/2026</c:v>
                </c:pt>
                <c:pt idx="17">
                  <c:v>18/8/2026</c:v>
                </c:pt>
                <c:pt idx="18">
                  <c:v>19/8/2026</c:v>
                </c:pt>
                <c:pt idx="19">
                  <c:v>20/8/2026</c:v>
                </c:pt>
                <c:pt idx="20">
                  <c:v>21/8/2026</c:v>
                </c:pt>
                <c:pt idx="21">
                  <c:v>22/8/2026</c:v>
                </c:pt>
                <c:pt idx="22">
                  <c:v>23/8/2026</c:v>
                </c:pt>
                <c:pt idx="23">
                  <c:v>24/8/2026</c:v>
                </c:pt>
                <c:pt idx="24">
                  <c:v>25/8/2026</c:v>
                </c:pt>
                <c:pt idx="25">
                  <c:v>26/8/2026</c:v>
                </c:pt>
                <c:pt idx="26">
                  <c:v>27/8/2026</c:v>
                </c:pt>
                <c:pt idx="27">
                  <c:v>28/8/2026</c:v>
                </c:pt>
                <c:pt idx="28">
                  <c:v>29/8/2026</c:v>
                </c:pt>
                <c:pt idx="29">
                  <c:v>30/8/2026</c:v>
                </c:pt>
                <c:pt idx="30">
                  <c:v>31/8/2026</c:v>
                </c:pt>
              </c:strCache>
            </c:strRef>
          </c:cat>
          <c:val>
            <c:numRef>
              <c:f>'Dashboard Final'!$Q$8:$Q$39</c:f>
              <c:numCache>
                <c:formatCode>\$\ #,##0.00;\-\$\ #,##0.00;\$\ #,##0.00</c:formatCode>
                <c:ptCount val="31"/>
                <c:pt idx="0">
                  <c:v>169997</c:v>
                </c:pt>
                <c:pt idx="1">
                  <c:v>319995</c:v>
                </c:pt>
                <c:pt idx="2">
                  <c:v>179997</c:v>
                </c:pt>
                <c:pt idx="3">
                  <c:v>0</c:v>
                </c:pt>
                <c:pt idx="4">
                  <c:v>119997</c:v>
                </c:pt>
                <c:pt idx="5">
                  <c:v>169996</c:v>
                </c:pt>
                <c:pt idx="6">
                  <c:v>169997</c:v>
                </c:pt>
                <c:pt idx="7">
                  <c:v>119998</c:v>
                </c:pt>
                <c:pt idx="8">
                  <c:v>149996</c:v>
                </c:pt>
                <c:pt idx="9">
                  <c:v>74997</c:v>
                </c:pt>
                <c:pt idx="10">
                  <c:v>269995</c:v>
                </c:pt>
                <c:pt idx="11">
                  <c:v>269996</c:v>
                </c:pt>
                <c:pt idx="12">
                  <c:v>59999</c:v>
                </c:pt>
                <c:pt idx="13">
                  <c:v>0</c:v>
                </c:pt>
                <c:pt idx="14">
                  <c:v>39999</c:v>
                </c:pt>
                <c:pt idx="15">
                  <c:v>139997</c:v>
                </c:pt>
                <c:pt idx="16">
                  <c:v>179997</c:v>
                </c:pt>
                <c:pt idx="17">
                  <c:v>224996</c:v>
                </c:pt>
                <c:pt idx="18">
                  <c:v>74997</c:v>
                </c:pt>
                <c:pt idx="19">
                  <c:v>29998</c:v>
                </c:pt>
                <c:pt idx="20">
                  <c:v>89997</c:v>
                </c:pt>
                <c:pt idx="21">
                  <c:v>69999</c:v>
                </c:pt>
                <c:pt idx="22">
                  <c:v>119998</c:v>
                </c:pt>
                <c:pt idx="23">
                  <c:v>0</c:v>
                </c:pt>
                <c:pt idx="24">
                  <c:v>0</c:v>
                </c:pt>
                <c:pt idx="25">
                  <c:v>79998</c:v>
                </c:pt>
                <c:pt idx="26">
                  <c:v>149997</c:v>
                </c:pt>
                <c:pt idx="27">
                  <c:v>59999</c:v>
                </c:pt>
                <c:pt idx="28">
                  <c:v>89998</c:v>
                </c:pt>
                <c:pt idx="29">
                  <c:v>44997</c:v>
                </c:pt>
                <c:pt idx="30">
                  <c:v>29999</c:v>
                </c:pt>
              </c:numCache>
            </c:numRef>
          </c:val>
          <c:smooth val="0"/>
          <c:extLst>
            <c:ext xmlns:c16="http://schemas.microsoft.com/office/drawing/2014/chart" uri="{C3380CC4-5D6E-409C-BE32-E72D297353CC}">
              <c16:uniqueId val="{00000000-1E8C-4831-984A-8950CDD277E2}"/>
            </c:ext>
          </c:extLst>
        </c:ser>
        <c:dLbls>
          <c:showLegendKey val="0"/>
          <c:showVal val="0"/>
          <c:showCatName val="0"/>
          <c:showSerName val="0"/>
          <c:showPercent val="0"/>
          <c:showBubbleSize val="0"/>
        </c:dLbls>
        <c:smooth val="0"/>
        <c:axId val="636965936"/>
        <c:axId val="1448966416"/>
      </c:lineChart>
      <c:catAx>
        <c:axId val="6369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48966416"/>
        <c:crosses val="autoZero"/>
        <c:auto val="1"/>
        <c:lblAlgn val="ctr"/>
        <c:lblOffset val="100"/>
        <c:noMultiLvlLbl val="0"/>
      </c:catAx>
      <c:valAx>
        <c:axId val="1448966416"/>
        <c:scaling>
          <c:orientation val="minMax"/>
        </c:scaling>
        <c:delete val="0"/>
        <c:axPos val="l"/>
        <c:majorGridlines>
          <c:spPr>
            <a:ln w="9525" cap="flat" cmpd="sng" algn="ctr">
              <a:solidFill>
                <a:schemeClr val="tx1">
                  <a:lumMod val="15000"/>
                  <a:lumOff val="85000"/>
                </a:schemeClr>
              </a:solidFill>
              <a:round/>
            </a:ln>
            <a:effectLst/>
          </c:spPr>
        </c:majorGridlines>
        <c:numFmt formatCode="\$\ #,##0.00;\-\$\ #,##0.0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3696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[Entrega_Dashboard_GuerrinoMateo.xlsx]Dashboard Final!TablaDinámica3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AR" b="1"/>
              <a:t>Carreras lidera las ventas con más de $900 mil</a:t>
            </a:r>
            <a:endParaRPr lang="es-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Final'!$Q$42</c:f>
              <c:strCache>
                <c:ptCount val="1"/>
                <c:pt idx="0">
                  <c:v>Total</c:v>
                </c:pt>
              </c:strCache>
            </c:strRef>
          </c:tx>
          <c:spPr>
            <a:solidFill>
              <a:schemeClr val="accent1"/>
            </a:solidFill>
            <a:ln>
              <a:noFill/>
            </a:ln>
            <a:effectLst/>
          </c:spPr>
          <c:invertIfNegative val="0"/>
          <c:cat>
            <c:strRef>
              <c:f>'Dashboard Final'!$P$43:$P$51</c:f>
              <c:strCache>
                <c:ptCount val="8"/>
                <c:pt idx="0">
                  <c:v>Acción</c:v>
                </c:pt>
                <c:pt idx="1">
                  <c:v>Aventura</c:v>
                </c:pt>
                <c:pt idx="2">
                  <c:v>Battle Royale</c:v>
                </c:pt>
                <c:pt idx="3">
                  <c:v>Carreras</c:v>
                </c:pt>
                <c:pt idx="4">
                  <c:v>Deportes</c:v>
                </c:pt>
                <c:pt idx="5">
                  <c:v>Plataformas</c:v>
                </c:pt>
                <c:pt idx="6">
                  <c:v>Sandbox</c:v>
                </c:pt>
                <c:pt idx="7">
                  <c:v>Simulación</c:v>
                </c:pt>
              </c:strCache>
            </c:strRef>
          </c:cat>
          <c:val>
            <c:numRef>
              <c:f>'Dashboard Final'!$Q$43:$Q$51</c:f>
              <c:numCache>
                <c:formatCode>\$\ #,##0.00;\-\$\ #,##0.00;\$\ #,##0.00</c:formatCode>
                <c:ptCount val="8"/>
                <c:pt idx="0">
                  <c:v>399990</c:v>
                </c:pt>
                <c:pt idx="1">
                  <c:v>349993</c:v>
                </c:pt>
                <c:pt idx="2">
                  <c:v>0</c:v>
                </c:pt>
                <c:pt idx="3">
                  <c:v>914983</c:v>
                </c:pt>
                <c:pt idx="4">
                  <c:v>769989</c:v>
                </c:pt>
                <c:pt idx="5">
                  <c:v>659989</c:v>
                </c:pt>
                <c:pt idx="6">
                  <c:v>269991</c:v>
                </c:pt>
                <c:pt idx="7">
                  <c:v>134991</c:v>
                </c:pt>
              </c:numCache>
            </c:numRef>
          </c:val>
          <c:extLst>
            <c:ext xmlns:c16="http://schemas.microsoft.com/office/drawing/2014/chart" uri="{C3380CC4-5D6E-409C-BE32-E72D297353CC}">
              <c16:uniqueId val="{00000000-243D-4C3F-B011-2A0BE5ACA9C3}"/>
            </c:ext>
          </c:extLst>
        </c:ser>
        <c:dLbls>
          <c:showLegendKey val="0"/>
          <c:showVal val="0"/>
          <c:showCatName val="0"/>
          <c:showSerName val="0"/>
          <c:showPercent val="0"/>
          <c:showBubbleSize val="0"/>
        </c:dLbls>
        <c:gapWidth val="219"/>
        <c:overlap val="-27"/>
        <c:axId val="2106192080"/>
        <c:axId val="1448932336"/>
      </c:barChart>
      <c:catAx>
        <c:axId val="21061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48932336"/>
        <c:crosses val="autoZero"/>
        <c:auto val="1"/>
        <c:lblAlgn val="ctr"/>
        <c:lblOffset val="100"/>
        <c:noMultiLvlLbl val="0"/>
      </c:catAx>
      <c:valAx>
        <c:axId val="1448932336"/>
        <c:scaling>
          <c:orientation val="minMax"/>
        </c:scaling>
        <c:delete val="0"/>
        <c:axPos val="l"/>
        <c:majorGridlines>
          <c:spPr>
            <a:ln w="9525" cap="flat" cmpd="sng" algn="ctr">
              <a:solidFill>
                <a:schemeClr val="tx1">
                  <a:lumMod val="15000"/>
                  <a:lumOff val="85000"/>
                </a:schemeClr>
              </a:solidFill>
              <a:round/>
            </a:ln>
            <a:effectLst/>
          </c:spPr>
        </c:majorGridlines>
        <c:numFmt formatCode="\$\ #,##0.00;\-\$\ #,##0.0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0619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0" i="0" u="none" strike="noStrike" baseline="0"/>
              <a:t>El importe de venta depende de la cantidad y del precio del producto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'Dashboard Final'!$U$2</c:f>
              <c:strCache>
                <c:ptCount val="1"/>
                <c:pt idx="0">
                  <c:v>Total Venta</c:v>
                </c:pt>
              </c:strCache>
            </c:strRef>
          </c:tx>
          <c:spPr>
            <a:ln w="38100" cap="rnd">
              <a:noFill/>
              <a:round/>
            </a:ln>
            <a:effectLst/>
          </c:spPr>
          <c:marker>
            <c:symbol val="circle"/>
            <c:size val="5"/>
            <c:spPr>
              <a:solidFill>
                <a:schemeClr val="accent1"/>
              </a:solidFill>
              <a:ln w="9525">
                <a:solidFill>
                  <a:schemeClr val="accent1"/>
                </a:solidFill>
              </a:ln>
              <a:effectLst/>
            </c:spPr>
          </c:marker>
          <c:xVal>
            <c:numRef>
              <c:f>'Dashboard Final'!$T$3:$T$52</c:f>
              <c:numCache>
                <c:formatCode>General</c:formatCode>
                <c:ptCount val="50"/>
                <c:pt idx="0">
                  <c:v>2</c:v>
                </c:pt>
                <c:pt idx="1">
                  <c:v>1</c:v>
                </c:pt>
                <c:pt idx="2">
                  <c:v>1</c:v>
                </c:pt>
                <c:pt idx="3">
                  <c:v>2</c:v>
                </c:pt>
                <c:pt idx="4">
                  <c:v>1</c:v>
                </c:pt>
                <c:pt idx="5">
                  <c:v>2</c:v>
                </c:pt>
                <c:pt idx="6">
                  <c:v>1</c:v>
                </c:pt>
                <c:pt idx="7">
                  <c:v>1</c:v>
                </c:pt>
                <c:pt idx="8">
                  <c:v>2</c:v>
                </c:pt>
                <c:pt idx="9">
                  <c:v>2</c:v>
                </c:pt>
                <c:pt idx="10">
                  <c:v>3</c:v>
                </c:pt>
                <c:pt idx="11">
                  <c:v>1</c:v>
                </c:pt>
                <c:pt idx="12">
                  <c:v>1</c:v>
                </c:pt>
                <c:pt idx="13">
                  <c:v>1</c:v>
                </c:pt>
                <c:pt idx="14">
                  <c:v>2</c:v>
                </c:pt>
                <c:pt idx="15">
                  <c:v>2</c:v>
                </c:pt>
                <c:pt idx="16">
                  <c:v>2</c:v>
                </c:pt>
                <c:pt idx="17">
                  <c:v>3</c:v>
                </c:pt>
                <c:pt idx="18">
                  <c:v>2</c:v>
                </c:pt>
                <c:pt idx="19">
                  <c:v>1</c:v>
                </c:pt>
                <c:pt idx="20">
                  <c:v>1</c:v>
                </c:pt>
                <c:pt idx="21">
                  <c:v>2</c:v>
                </c:pt>
                <c:pt idx="22">
                  <c:v>3</c:v>
                </c:pt>
                <c:pt idx="23">
                  <c:v>1</c:v>
                </c:pt>
                <c:pt idx="24">
                  <c:v>1</c:v>
                </c:pt>
                <c:pt idx="25">
                  <c:v>1</c:v>
                </c:pt>
                <c:pt idx="26">
                  <c:v>2</c:v>
                </c:pt>
                <c:pt idx="27">
                  <c:v>1</c:v>
                </c:pt>
                <c:pt idx="28">
                  <c:v>3</c:v>
                </c:pt>
                <c:pt idx="29">
                  <c:v>2</c:v>
                </c:pt>
                <c:pt idx="30">
                  <c:v>2</c:v>
                </c:pt>
                <c:pt idx="31">
                  <c:v>1</c:v>
                </c:pt>
                <c:pt idx="32">
                  <c:v>1</c:v>
                </c:pt>
                <c:pt idx="33">
                  <c:v>1</c:v>
                </c:pt>
                <c:pt idx="34">
                  <c:v>1</c:v>
                </c:pt>
                <c:pt idx="35">
                  <c:v>1</c:v>
                </c:pt>
                <c:pt idx="36">
                  <c:v>2</c:v>
                </c:pt>
                <c:pt idx="37">
                  <c:v>1</c:v>
                </c:pt>
                <c:pt idx="38">
                  <c:v>1</c:v>
                </c:pt>
                <c:pt idx="39">
                  <c:v>1</c:v>
                </c:pt>
                <c:pt idx="40">
                  <c:v>1</c:v>
                </c:pt>
                <c:pt idx="41">
                  <c:v>1</c:v>
                </c:pt>
                <c:pt idx="42">
                  <c:v>3</c:v>
                </c:pt>
                <c:pt idx="43">
                  <c:v>1</c:v>
                </c:pt>
                <c:pt idx="44">
                  <c:v>1</c:v>
                </c:pt>
                <c:pt idx="45">
                  <c:v>2</c:v>
                </c:pt>
                <c:pt idx="46">
                  <c:v>2</c:v>
                </c:pt>
                <c:pt idx="47">
                  <c:v>2</c:v>
                </c:pt>
                <c:pt idx="48">
                  <c:v>1</c:v>
                </c:pt>
                <c:pt idx="49">
                  <c:v>2</c:v>
                </c:pt>
              </c:numCache>
            </c:numRef>
          </c:xVal>
          <c:yVal>
            <c:numRef>
              <c:f>'Dashboard Final'!$U$3:$U$52</c:f>
              <c:numCache>
                <c:formatCode>\$#,##0</c:formatCode>
                <c:ptCount val="50"/>
                <c:pt idx="0">
                  <c:v>119998</c:v>
                </c:pt>
                <c:pt idx="1">
                  <c:v>44999</c:v>
                </c:pt>
                <c:pt idx="2">
                  <c:v>49999</c:v>
                </c:pt>
                <c:pt idx="3">
                  <c:v>119998</c:v>
                </c:pt>
                <c:pt idx="4">
                  <c:v>59999</c:v>
                </c:pt>
                <c:pt idx="5">
                  <c:v>89998</c:v>
                </c:pt>
                <c:pt idx="6">
                  <c:v>14999</c:v>
                </c:pt>
                <c:pt idx="7">
                  <c:v>39999</c:v>
                </c:pt>
                <c:pt idx="8">
                  <c:v>0</c:v>
                </c:pt>
                <c:pt idx="9">
                  <c:v>0</c:v>
                </c:pt>
                <c:pt idx="10">
                  <c:v>119997</c:v>
                </c:pt>
                <c:pt idx="11">
                  <c:v>69999</c:v>
                </c:pt>
                <c:pt idx="12">
                  <c:v>44999</c:v>
                </c:pt>
                <c:pt idx="13">
                  <c:v>49999</c:v>
                </c:pt>
                <c:pt idx="14">
                  <c:v>99998</c:v>
                </c:pt>
                <c:pt idx="15">
                  <c:v>79998</c:v>
                </c:pt>
                <c:pt idx="16">
                  <c:v>119998</c:v>
                </c:pt>
                <c:pt idx="17">
                  <c:v>179997</c:v>
                </c:pt>
                <c:pt idx="18">
                  <c:v>139998</c:v>
                </c:pt>
                <c:pt idx="19">
                  <c:v>49999</c:v>
                </c:pt>
                <c:pt idx="20">
                  <c:v>59999</c:v>
                </c:pt>
                <c:pt idx="21">
                  <c:v>89998</c:v>
                </c:pt>
                <c:pt idx="22">
                  <c:v>209997</c:v>
                </c:pt>
                <c:pt idx="23">
                  <c:v>0</c:v>
                </c:pt>
                <c:pt idx="24">
                  <c:v>49999</c:v>
                </c:pt>
                <c:pt idx="25">
                  <c:v>0</c:v>
                </c:pt>
                <c:pt idx="26">
                  <c:v>79998</c:v>
                </c:pt>
                <c:pt idx="27">
                  <c:v>14999</c:v>
                </c:pt>
                <c:pt idx="28">
                  <c:v>89997</c:v>
                </c:pt>
                <c:pt idx="29">
                  <c:v>99998</c:v>
                </c:pt>
                <c:pt idx="30">
                  <c:v>59998</c:v>
                </c:pt>
                <c:pt idx="31">
                  <c:v>49999</c:v>
                </c:pt>
                <c:pt idx="32">
                  <c:v>0</c:v>
                </c:pt>
                <c:pt idx="33">
                  <c:v>44999</c:v>
                </c:pt>
                <c:pt idx="34">
                  <c:v>69999</c:v>
                </c:pt>
                <c:pt idx="35">
                  <c:v>49999</c:v>
                </c:pt>
                <c:pt idx="36">
                  <c:v>79998</c:v>
                </c:pt>
                <c:pt idx="37">
                  <c:v>29999</c:v>
                </c:pt>
                <c:pt idx="38">
                  <c:v>39999</c:v>
                </c:pt>
                <c:pt idx="39">
                  <c:v>0</c:v>
                </c:pt>
                <c:pt idx="40">
                  <c:v>59999</c:v>
                </c:pt>
                <c:pt idx="41">
                  <c:v>59999</c:v>
                </c:pt>
                <c:pt idx="42">
                  <c:v>179997</c:v>
                </c:pt>
                <c:pt idx="43">
                  <c:v>0</c:v>
                </c:pt>
                <c:pt idx="44">
                  <c:v>0</c:v>
                </c:pt>
                <c:pt idx="45">
                  <c:v>0</c:v>
                </c:pt>
                <c:pt idx="46">
                  <c:v>59998</c:v>
                </c:pt>
                <c:pt idx="47">
                  <c:v>139998</c:v>
                </c:pt>
                <c:pt idx="48">
                  <c:v>44999</c:v>
                </c:pt>
                <c:pt idx="49">
                  <c:v>79998</c:v>
                </c:pt>
              </c:numCache>
            </c:numRef>
          </c:yVal>
          <c:smooth val="0"/>
          <c:extLst>
            <c:ext xmlns:c16="http://schemas.microsoft.com/office/drawing/2014/chart" uri="{C3380CC4-5D6E-409C-BE32-E72D297353CC}">
              <c16:uniqueId val="{00000000-C85A-4014-9287-662B3D071227}"/>
            </c:ext>
          </c:extLst>
        </c:ser>
        <c:dLbls>
          <c:showLegendKey val="0"/>
          <c:showVal val="0"/>
          <c:showCatName val="0"/>
          <c:showSerName val="0"/>
          <c:showPercent val="0"/>
          <c:showBubbleSize val="0"/>
        </c:dLbls>
        <c:axId val="633320064"/>
        <c:axId val="1449000496"/>
      </c:scatterChart>
      <c:valAx>
        <c:axId val="633320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49000496"/>
        <c:crosses val="autoZero"/>
        <c:crossBetween val="midCat"/>
      </c:valAx>
      <c:valAx>
        <c:axId val="1449000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33320064"/>
        <c:crosses val="autoZero"/>
        <c:crossBetween val="midCat"/>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r>
              <a:rPr lang="es-AR"/>
              <a:t>Ventas históricas y previsión</a:t>
            </a:r>
          </a:p>
        </c:rich>
      </c:tx>
      <c:overlay val="1"/>
    </c:title>
    <c:autoTitleDeleted val="0"/>
    <c:plotArea>
      <c:layout/>
      <c:lineChart>
        <c:grouping val="standard"/>
        <c:varyColors val="0"/>
        <c:ser>
          <c:idx val="0"/>
          <c:order val="0"/>
          <c:tx>
            <c:strRef>
              <c:f>Prevision!$B$4</c:f>
              <c:strCache>
                <c:ptCount val="1"/>
                <c:pt idx="0">
                  <c:v>Valor_Historico</c:v>
                </c:pt>
              </c:strCache>
            </c:strRef>
          </c:tx>
          <c:spPr>
            <a:ln>
              <a:prstDash val="solid"/>
            </a:ln>
          </c:spPr>
          <c:marker>
            <c:symbol val="none"/>
          </c:marker>
          <c:cat>
            <c:numRef>
              <c:f>Prevision!$A$5:$A$38</c:f>
              <c:numCache>
                <c:formatCode>dd/mm/yyyy</c:formatCode>
                <c:ptCount val="34"/>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numCache>
            </c:numRef>
          </c:cat>
          <c:val>
            <c:numRef>
              <c:f>Prevision!$B$5:$B$38</c:f>
              <c:numCache>
                <c:formatCode>\$#,##0</c:formatCode>
                <c:ptCount val="34"/>
                <c:pt idx="0">
                  <c:v>169997</c:v>
                </c:pt>
                <c:pt idx="1">
                  <c:v>44999</c:v>
                </c:pt>
                <c:pt idx="2">
                  <c:v>94998</c:v>
                </c:pt>
                <c:pt idx="3">
                  <c:v>189997</c:v>
                </c:pt>
                <c:pt idx="4">
                  <c:v>109998</c:v>
                </c:pt>
                <c:pt idx="5">
                  <c:v>169996</c:v>
                </c:pt>
                <c:pt idx="6">
                  <c:v>44998</c:v>
                </c:pt>
                <c:pt idx="7">
                  <c:v>79998</c:v>
                </c:pt>
                <c:pt idx="8">
                  <c:v>0</c:v>
                </c:pt>
                <c:pt idx="9">
                  <c:v>59999</c:v>
                </c:pt>
                <c:pt idx="10">
                  <c:v>179996</c:v>
                </c:pt>
                <c:pt idx="11">
                  <c:v>249996</c:v>
                </c:pt>
                <c:pt idx="12">
                  <c:v>44999</c:v>
                </c:pt>
                <c:pt idx="13">
                  <c:v>49999</c:v>
                </c:pt>
                <c:pt idx="14">
                  <c:v>99998</c:v>
                </c:pt>
                <c:pt idx="15">
                  <c:v>139996</c:v>
                </c:pt>
                <c:pt idx="16">
                  <c:v>259996</c:v>
                </c:pt>
                <c:pt idx="17">
                  <c:v>224996</c:v>
                </c:pt>
                <c:pt idx="18">
                  <c:v>219996</c:v>
                </c:pt>
                <c:pt idx="19">
                  <c:v>49999</c:v>
                </c:pt>
                <c:pt idx="20">
                  <c:v>59999</c:v>
                </c:pt>
                <c:pt idx="21">
                  <c:v>89998</c:v>
                </c:pt>
                <c:pt idx="22">
                  <c:v>209997</c:v>
                </c:pt>
                <c:pt idx="23">
                  <c:v>0</c:v>
                </c:pt>
                <c:pt idx="24">
                  <c:v>49999</c:v>
                </c:pt>
                <c:pt idx="25">
                  <c:v>0</c:v>
                </c:pt>
                <c:pt idx="26">
                  <c:v>79998</c:v>
                </c:pt>
                <c:pt idx="27">
                  <c:v>14999</c:v>
                </c:pt>
                <c:pt idx="28">
                  <c:v>89997</c:v>
                </c:pt>
                <c:pt idx="29">
                  <c:v>99998</c:v>
                </c:pt>
                <c:pt idx="30">
                  <c:v>59998</c:v>
                </c:pt>
              </c:numCache>
            </c:numRef>
          </c:val>
          <c:smooth val="1"/>
          <c:extLst>
            <c:ext xmlns:c16="http://schemas.microsoft.com/office/drawing/2014/chart" uri="{C3380CC4-5D6E-409C-BE32-E72D297353CC}">
              <c16:uniqueId val="{00000000-9A3D-403B-ADF5-3601C24E086B}"/>
            </c:ext>
          </c:extLst>
        </c:ser>
        <c:ser>
          <c:idx val="1"/>
          <c:order val="1"/>
          <c:tx>
            <c:strRef>
              <c:f>Prevision!$C$4</c:f>
              <c:strCache>
                <c:ptCount val="1"/>
                <c:pt idx="0">
                  <c:v>Valor_Proyectado</c:v>
                </c:pt>
              </c:strCache>
            </c:strRef>
          </c:tx>
          <c:spPr>
            <a:ln>
              <a:prstDash val="solid"/>
            </a:ln>
          </c:spPr>
          <c:marker>
            <c:symbol val="none"/>
          </c:marker>
          <c:cat>
            <c:numRef>
              <c:f>Prevision!$A$5:$A$38</c:f>
              <c:numCache>
                <c:formatCode>dd/mm/yyyy</c:formatCode>
                <c:ptCount val="34"/>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numCache>
            </c:numRef>
          </c:cat>
          <c:val>
            <c:numRef>
              <c:f>Prevision!$C$5:$C$38</c:f>
              <c:numCache>
                <c:formatCode>\$#,##0</c:formatCode>
                <c:ptCount val="34"/>
                <c:pt idx="31">
                  <c:v>76224.06451612711</c:v>
                </c:pt>
                <c:pt idx="32">
                  <c:v>74455.943548381329</c:v>
                </c:pt>
                <c:pt idx="33">
                  <c:v>72687.822580635548</c:v>
                </c:pt>
              </c:numCache>
            </c:numRef>
          </c:val>
          <c:smooth val="1"/>
          <c:extLst>
            <c:ext xmlns:c16="http://schemas.microsoft.com/office/drawing/2014/chart" uri="{C3380CC4-5D6E-409C-BE32-E72D297353CC}">
              <c16:uniqueId val="{00000001-9A3D-403B-ADF5-3601C24E086B}"/>
            </c:ext>
          </c:extLst>
        </c:ser>
        <c:dLbls>
          <c:showLegendKey val="0"/>
          <c:showVal val="0"/>
          <c:showCatName val="0"/>
          <c:showSerName val="0"/>
          <c:showPercent val="0"/>
          <c:showBubbleSize val="0"/>
        </c:dLbls>
        <c:smooth val="0"/>
        <c:axId val="10"/>
        <c:axId val="100"/>
      </c:lineChart>
      <c:dateAx>
        <c:axId val="10"/>
        <c:scaling>
          <c:orientation val="minMax"/>
        </c:scaling>
        <c:delete val="0"/>
        <c:axPos val="b"/>
        <c:title>
          <c:tx>
            <c:rich>
              <a:bodyPr/>
              <a:lstStyle/>
              <a:p>
                <a:r>
                  <a:rPr lang="es-AR"/>
                  <a:t>Fecha</a:t>
                </a:r>
              </a:p>
            </c:rich>
          </c:tx>
          <c:overlay val="1"/>
        </c:title>
        <c:numFmt formatCode="dd/mm/yyyy" sourceLinked="1"/>
        <c:majorTickMark val="none"/>
        <c:minorTickMark val="none"/>
        <c:tickLblPos val="nextTo"/>
        <c:crossAx val="100"/>
        <c:crosses val="autoZero"/>
        <c:auto val="1"/>
        <c:lblOffset val="100"/>
        <c:baseTimeUnit val="days"/>
      </c:dateAx>
      <c:valAx>
        <c:axId val="100"/>
        <c:scaling>
          <c:orientation val="minMax"/>
        </c:scaling>
        <c:delete val="0"/>
        <c:axPos val="l"/>
        <c:title>
          <c:tx>
            <c:rich>
              <a:bodyPr/>
              <a:lstStyle/>
              <a:p>
                <a:r>
                  <a:rPr lang="es-AR"/>
                  <a:t>Ventas ($)</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t>Facturación por videojuego</a:t>
            </a:r>
          </a:p>
        </c:rich>
      </c:tx>
      <c:overlay val="1"/>
    </c:title>
    <c:autoTitleDeleted val="0"/>
    <c:plotArea>
      <c:layout/>
      <c:barChart>
        <c:barDir val="col"/>
        <c:grouping val="clustered"/>
        <c:varyColors val="0"/>
        <c:ser>
          <c:idx val="0"/>
          <c:order val="0"/>
          <c:tx>
            <c:v>Facturación</c:v>
          </c:tx>
          <c:invertIfNegative val="1"/>
          <c:cat>
            <c:strRef>
              <c:f>Reporte_Insights!$B$25:$B$34</c:f>
              <c:strCache>
                <c:ptCount val="10"/>
                <c:pt idx="0">
                  <c:v>Minecraft</c:v>
                </c:pt>
                <c:pt idx="1">
                  <c:v>EA Sports FC 26</c:v>
                </c:pt>
                <c:pt idx="2">
                  <c:v>Mario Kart 8 Deluxe</c:v>
                </c:pt>
                <c:pt idx="3">
                  <c:v>Fortnite</c:v>
                </c:pt>
                <c:pt idx="4">
                  <c:v>The Sims 4</c:v>
                </c:pt>
                <c:pt idx="5">
                  <c:v>Grand Theft Auto V</c:v>
                </c:pt>
                <c:pt idx="6">
                  <c:v>Hogwarts Legacy</c:v>
                </c:pt>
                <c:pt idx="7">
                  <c:v>Super Mario Bros. Wonder</c:v>
                </c:pt>
                <c:pt idx="8">
                  <c:v>Forza Horizon 5</c:v>
                </c:pt>
                <c:pt idx="9">
                  <c:v>Stardew Valley</c:v>
                </c:pt>
              </c:strCache>
            </c:strRef>
          </c:cat>
          <c:val>
            <c:numRef>
              <c:f>Reporte_Insights!$C$25:$C$34</c:f>
              <c:numCache>
                <c:formatCode>\$#,##0</c:formatCode>
                <c:ptCount val="10"/>
                <c:pt idx="0">
                  <c:v>239992</c:v>
                </c:pt>
                <c:pt idx="1">
                  <c:v>629991</c:v>
                </c:pt>
                <c:pt idx="2">
                  <c:v>479992</c:v>
                </c:pt>
                <c:pt idx="3">
                  <c:v>0</c:v>
                </c:pt>
                <c:pt idx="4">
                  <c:v>0</c:v>
                </c:pt>
                <c:pt idx="5">
                  <c:v>519987</c:v>
                </c:pt>
                <c:pt idx="6">
                  <c:v>499990</c:v>
                </c:pt>
                <c:pt idx="7">
                  <c:v>479992</c:v>
                </c:pt>
                <c:pt idx="8">
                  <c:v>359992</c:v>
                </c:pt>
                <c:pt idx="9">
                  <c:v>29998</c:v>
                </c:pt>
              </c:numCache>
            </c:numRef>
          </c:val>
          <c:extLst>
            <c:ext xmlns:c16="http://schemas.microsoft.com/office/drawing/2014/chart" uri="{C3380CC4-5D6E-409C-BE32-E72D297353CC}">
              <c16:uniqueId val="{00000000-E0C2-4399-BD9A-A74C67B55D2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t>Operaciones por segmento</a:t>
            </a:r>
          </a:p>
        </c:rich>
      </c:tx>
      <c:overlay val="1"/>
    </c:title>
    <c:autoTitleDeleted val="0"/>
    <c:plotArea>
      <c:layout/>
      <c:barChart>
        <c:barDir val="col"/>
        <c:grouping val="clustered"/>
        <c:varyColors val="0"/>
        <c:ser>
          <c:idx val="0"/>
          <c:order val="0"/>
          <c:tx>
            <c:v>Operaciones</c:v>
          </c:tx>
          <c:invertIfNegative val="1"/>
          <c:cat>
            <c:strRef>
              <c:f>Reporte_Insights!$E$25:$E$27</c:f>
              <c:strCache>
                <c:ptCount val="3"/>
                <c:pt idx="0">
                  <c:v>Venta Alta</c:v>
                </c:pt>
                <c:pt idx="1">
                  <c:v>Venta Media</c:v>
                </c:pt>
                <c:pt idx="2">
                  <c:v>Venta Baja</c:v>
                </c:pt>
              </c:strCache>
            </c:strRef>
          </c:cat>
          <c:val>
            <c:numRef>
              <c:f>Reporte_Insights!$F$25:$F$27</c:f>
              <c:numCache>
                <c:formatCode>General</c:formatCode>
                <c:ptCount val="3"/>
                <c:pt idx="0">
                  <c:v>9</c:v>
                </c:pt>
                <c:pt idx="1">
                  <c:v>17</c:v>
                </c:pt>
                <c:pt idx="2">
                  <c:v>24</c:v>
                </c:pt>
              </c:numCache>
            </c:numRef>
          </c:val>
          <c:extLst>
            <c:ext xmlns:c16="http://schemas.microsoft.com/office/drawing/2014/chart" uri="{C3380CC4-5D6E-409C-BE32-E72D297353CC}">
              <c16:uniqueId val="{00000000-88AC-4CD2-B69E-ECB388CA827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[Entrega_Dashboard_GuerrinoMateo.xlsx]Motor_Analisis!TablaDinámica2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0" i="0" u="none" strike="noStrike" baseline="0"/>
              <a:t>Facturación por Plataforma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Motor_Analisis!$E$3</c:f>
              <c:strCache>
                <c:ptCount val="1"/>
                <c:pt idx="0">
                  <c:v>Total</c:v>
                </c:pt>
              </c:strCache>
            </c:strRef>
          </c:tx>
          <c:spPr>
            <a:solidFill>
              <a:schemeClr val="accent1"/>
            </a:solidFill>
            <a:ln>
              <a:noFill/>
            </a:ln>
            <a:effectLst/>
          </c:spPr>
          <c:invertIfNegative val="0"/>
          <c:cat>
            <c:strRef>
              <c:f>Motor_Analisis!$D$4:$D$8</c:f>
              <c:strCache>
                <c:ptCount val="4"/>
                <c:pt idx="0">
                  <c:v>Nintendo Switch</c:v>
                </c:pt>
                <c:pt idx="1">
                  <c:v>PC</c:v>
                </c:pt>
                <c:pt idx="2">
                  <c:v>PS5</c:v>
                </c:pt>
                <c:pt idx="3">
                  <c:v>Xbox</c:v>
                </c:pt>
              </c:strCache>
            </c:strRef>
          </c:cat>
          <c:val>
            <c:numRef>
              <c:f>Motor_Analisis!$E$4:$E$8</c:f>
              <c:numCache>
                <c:formatCode>General</c:formatCode>
                <c:ptCount val="4"/>
                <c:pt idx="0">
                  <c:v>959984</c:v>
                </c:pt>
                <c:pt idx="1">
                  <c:v>269990</c:v>
                </c:pt>
                <c:pt idx="2">
                  <c:v>1649968</c:v>
                </c:pt>
                <c:pt idx="3">
                  <c:v>359992</c:v>
                </c:pt>
              </c:numCache>
            </c:numRef>
          </c:val>
          <c:extLst>
            <c:ext xmlns:c16="http://schemas.microsoft.com/office/drawing/2014/chart" uri="{C3380CC4-5D6E-409C-BE32-E72D297353CC}">
              <c16:uniqueId val="{00000000-F296-429C-B07E-B0FCB3677E05}"/>
            </c:ext>
          </c:extLst>
        </c:ser>
        <c:dLbls>
          <c:showLegendKey val="0"/>
          <c:showVal val="0"/>
          <c:showCatName val="0"/>
          <c:showSerName val="0"/>
          <c:showPercent val="0"/>
          <c:showBubbleSize val="0"/>
        </c:dLbls>
        <c:gapWidth val="219"/>
        <c:overlap val="-27"/>
        <c:axId val="984340479"/>
        <c:axId val="666176559"/>
      </c:barChart>
      <c:catAx>
        <c:axId val="98434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6176559"/>
        <c:crosses val="autoZero"/>
        <c:auto val="1"/>
        <c:lblAlgn val="ctr"/>
        <c:lblOffset val="100"/>
        <c:noMultiLvlLbl val="0"/>
      </c:catAx>
      <c:valAx>
        <c:axId val="66617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8434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[Entrega_Dashboard_GuerrinoMateo.xlsx]Motor_Analisis!TablaDinámica1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0" i="0" u="none" strike="noStrike" baseline="0"/>
              <a:t>Facturación por Videojuego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Motor_Analisis!$B$3</c:f>
              <c:strCache>
                <c:ptCount val="1"/>
                <c:pt idx="0">
                  <c:v>Total</c:v>
                </c:pt>
              </c:strCache>
            </c:strRef>
          </c:tx>
          <c:spPr>
            <a:solidFill>
              <a:schemeClr val="accent1"/>
            </a:solidFill>
            <a:ln>
              <a:noFill/>
            </a:ln>
            <a:effectLst/>
          </c:spPr>
          <c:invertIfNegative val="0"/>
          <c:cat>
            <c:strRef>
              <c:f>Motor_Analisis!$A$4:$A$14</c:f>
              <c:strCache>
                <c:ptCount val="10"/>
                <c:pt idx="0">
                  <c:v>EA Sports FC 26</c:v>
                </c:pt>
                <c:pt idx="1">
                  <c:v>Fortnite</c:v>
                </c:pt>
                <c:pt idx="2">
                  <c:v>Forza Horizon 5</c:v>
                </c:pt>
                <c:pt idx="3">
                  <c:v>Grand Theft Auto V</c:v>
                </c:pt>
                <c:pt idx="4">
                  <c:v>Hogwarts Legacy</c:v>
                </c:pt>
                <c:pt idx="5">
                  <c:v>Mario Kart 8 Deluxe</c:v>
                </c:pt>
                <c:pt idx="6">
                  <c:v>Minecraft</c:v>
                </c:pt>
                <c:pt idx="7">
                  <c:v>Stardew Valley</c:v>
                </c:pt>
                <c:pt idx="8">
                  <c:v>Super Mario Bros. Wonder</c:v>
                </c:pt>
                <c:pt idx="9">
                  <c:v>The Sims 4</c:v>
                </c:pt>
              </c:strCache>
            </c:strRef>
          </c:cat>
          <c:val>
            <c:numRef>
              <c:f>Motor_Analisis!$B$4:$B$14</c:f>
              <c:numCache>
                <c:formatCode>General</c:formatCode>
                <c:ptCount val="10"/>
                <c:pt idx="0">
                  <c:v>629991</c:v>
                </c:pt>
                <c:pt idx="1">
                  <c:v>0</c:v>
                </c:pt>
                <c:pt idx="2">
                  <c:v>359992</c:v>
                </c:pt>
                <c:pt idx="3">
                  <c:v>519987</c:v>
                </c:pt>
                <c:pt idx="4">
                  <c:v>499990</c:v>
                </c:pt>
                <c:pt idx="5">
                  <c:v>479992</c:v>
                </c:pt>
                <c:pt idx="6">
                  <c:v>239992</c:v>
                </c:pt>
                <c:pt idx="7">
                  <c:v>29998</c:v>
                </c:pt>
                <c:pt idx="8">
                  <c:v>479992</c:v>
                </c:pt>
                <c:pt idx="9">
                  <c:v>0</c:v>
                </c:pt>
              </c:numCache>
            </c:numRef>
          </c:val>
          <c:extLst>
            <c:ext xmlns:c16="http://schemas.microsoft.com/office/drawing/2014/chart" uri="{C3380CC4-5D6E-409C-BE32-E72D297353CC}">
              <c16:uniqueId val="{00000000-8C80-45B8-9E9F-8652BE6FD7DA}"/>
            </c:ext>
          </c:extLst>
        </c:ser>
        <c:dLbls>
          <c:showLegendKey val="0"/>
          <c:showVal val="0"/>
          <c:showCatName val="0"/>
          <c:showSerName val="0"/>
          <c:showPercent val="0"/>
          <c:showBubbleSize val="0"/>
        </c:dLbls>
        <c:gapWidth val="182"/>
        <c:axId val="985650207"/>
        <c:axId val="666096879"/>
      </c:barChart>
      <c:catAx>
        <c:axId val="98565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6096879"/>
        <c:crosses val="autoZero"/>
        <c:auto val="1"/>
        <c:lblAlgn val="ctr"/>
        <c:lblOffset val="100"/>
        <c:noMultiLvlLbl val="0"/>
      </c:catAx>
      <c:valAx>
        <c:axId val="666096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8565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11906</xdr:colOff>
      <xdr:row>7</xdr:row>
      <xdr:rowOff>33338</xdr:rowOff>
    </xdr:from>
    <xdr:to>
      <xdr:col>7</xdr:col>
      <xdr:colOff>0</xdr:colOff>
      <xdr:row>22</xdr:row>
      <xdr:rowOff>135466</xdr:rowOff>
    </xdr:to>
    <xdr:graphicFrame macro="">
      <xdr:nvGraphicFramePr>
        <xdr:cNvPr id="2" name="Gráfico 1">
          <a:extLst>
            <a:ext uri="{FF2B5EF4-FFF2-40B4-BE49-F238E27FC236}">
              <a16:creationId xmlns:a16="http://schemas.microsoft.com/office/drawing/2014/main" id="{BA5F888A-FE3F-F9B3-321B-D956767AE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62707</xdr:colOff>
      <xdr:row>7</xdr:row>
      <xdr:rowOff>43657</xdr:rowOff>
    </xdr:from>
    <xdr:to>
      <xdr:col>13</xdr:col>
      <xdr:colOff>838200</xdr:colOff>
      <xdr:row>22</xdr:row>
      <xdr:rowOff>107951</xdr:rowOff>
    </xdr:to>
    <xdr:graphicFrame macro="">
      <xdr:nvGraphicFramePr>
        <xdr:cNvPr id="3" name="Gráfico 2">
          <a:extLst>
            <a:ext uri="{FF2B5EF4-FFF2-40B4-BE49-F238E27FC236}">
              <a16:creationId xmlns:a16="http://schemas.microsoft.com/office/drawing/2014/main" id="{A4B50635-A99D-25D1-1200-F67F557B9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158448</xdr:rowOff>
    </xdr:from>
    <xdr:to>
      <xdr:col>7</xdr:col>
      <xdr:colOff>60476</xdr:colOff>
      <xdr:row>40</xdr:row>
      <xdr:rowOff>22981</xdr:rowOff>
    </xdr:to>
    <xdr:graphicFrame macro="">
      <xdr:nvGraphicFramePr>
        <xdr:cNvPr id="4" name="Gráfico 3">
          <a:extLst>
            <a:ext uri="{FF2B5EF4-FFF2-40B4-BE49-F238E27FC236}">
              <a16:creationId xmlns:a16="http://schemas.microsoft.com/office/drawing/2014/main" id="{4106AA25-C6A5-5525-0EB5-6F48BD9EE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290890</xdr:colOff>
      <xdr:row>24</xdr:row>
      <xdr:rowOff>90109</xdr:rowOff>
    </xdr:from>
    <xdr:to>
      <xdr:col>9</xdr:col>
      <xdr:colOff>402166</xdr:colOff>
      <xdr:row>39</xdr:row>
      <xdr:rowOff>17084</xdr:rowOff>
    </xdr:to>
    <mc:AlternateContent xmlns:mc="http://schemas.openxmlformats.org/markup-compatibility/2006" xmlns:a14="http://schemas.microsoft.com/office/drawing/2010/main">
      <mc:Choice Requires="a14">
        <xdr:graphicFrame macro="">
          <xdr:nvGraphicFramePr>
            <xdr:cNvPr id="5" name="Categoria 1">
              <a:extLst>
                <a:ext uri="{FF2B5EF4-FFF2-40B4-BE49-F238E27FC236}">
                  <a16:creationId xmlns:a16="http://schemas.microsoft.com/office/drawing/2014/main" id="{D73C2D87-3709-1101-6A66-6A4DA9878507}"/>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6483652" y="4275061"/>
              <a:ext cx="1828800" cy="24669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9</xdr:col>
      <xdr:colOff>472320</xdr:colOff>
      <xdr:row>24</xdr:row>
      <xdr:rowOff>96521</xdr:rowOff>
    </xdr:from>
    <xdr:to>
      <xdr:col>11</xdr:col>
      <xdr:colOff>583596</xdr:colOff>
      <xdr:row>39</xdr:row>
      <xdr:rowOff>23496</xdr:rowOff>
    </xdr:to>
    <mc:AlternateContent xmlns:mc="http://schemas.openxmlformats.org/markup-compatibility/2006" xmlns:a14="http://schemas.microsoft.com/office/drawing/2010/main">
      <mc:Choice Requires="a14">
        <xdr:graphicFrame macro="">
          <xdr:nvGraphicFramePr>
            <xdr:cNvPr id="7" name="Plataforma 1">
              <a:extLst>
                <a:ext uri="{FF2B5EF4-FFF2-40B4-BE49-F238E27FC236}">
                  <a16:creationId xmlns:a16="http://schemas.microsoft.com/office/drawing/2014/main" id="{3AB06B94-4722-4910-423F-8E1778DE40B7}"/>
                </a:ext>
              </a:extLst>
            </xdr:cNvPr>
            <xdr:cNvGraphicFramePr/>
          </xdr:nvGraphicFramePr>
          <xdr:xfrm>
            <a:off x="0" y="0"/>
            <a:ext cx="0" cy="0"/>
          </xdr:xfrm>
          <a:graphic>
            <a:graphicData uri="http://schemas.microsoft.com/office/drawing/2010/slicer">
              <sle:slicer xmlns:sle="http://schemas.microsoft.com/office/drawing/2010/slicer" name="Plataforma 1"/>
            </a:graphicData>
          </a:graphic>
        </xdr:graphicFrame>
      </mc:Choice>
      <mc:Fallback xmlns="">
        <xdr:sp macro="" textlink="">
          <xdr:nvSpPr>
            <xdr:cNvPr id="0" name=""/>
            <xdr:cNvSpPr>
              <a:spLocks noTextEdit="1"/>
            </xdr:cNvSpPr>
          </xdr:nvSpPr>
          <xdr:spPr>
            <a:xfrm>
              <a:off x="8382606" y="4281473"/>
              <a:ext cx="1828800" cy="24669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11</xdr:col>
      <xdr:colOff>653747</xdr:colOff>
      <xdr:row>24</xdr:row>
      <xdr:rowOff>120710</xdr:rowOff>
    </xdr:from>
    <xdr:to>
      <xdr:col>13</xdr:col>
      <xdr:colOff>765024</xdr:colOff>
      <xdr:row>39</xdr:row>
      <xdr:rowOff>47685</xdr:rowOff>
    </xdr:to>
    <mc:AlternateContent xmlns:mc="http://schemas.openxmlformats.org/markup-compatibility/2006" xmlns:a14="http://schemas.microsoft.com/office/drawing/2010/main">
      <mc:Choice Requires="a14">
        <xdr:graphicFrame macro="">
          <xdr:nvGraphicFramePr>
            <xdr:cNvPr id="8" name="Ciudad 2">
              <a:extLst>
                <a:ext uri="{FF2B5EF4-FFF2-40B4-BE49-F238E27FC236}">
                  <a16:creationId xmlns:a16="http://schemas.microsoft.com/office/drawing/2014/main" id="{D68C5F74-BB2B-5F81-C33F-628C468F823A}"/>
                </a:ext>
              </a:extLst>
            </xdr:cNvPr>
            <xdr:cNvGraphicFramePr/>
          </xdr:nvGraphicFramePr>
          <xdr:xfrm>
            <a:off x="0" y="0"/>
            <a:ext cx="0" cy="0"/>
          </xdr:xfrm>
          <a:graphic>
            <a:graphicData uri="http://schemas.microsoft.com/office/drawing/2010/slicer">
              <sle:slicer xmlns:sle="http://schemas.microsoft.com/office/drawing/2010/slicer" name="Ciudad 2"/>
            </a:graphicData>
          </a:graphic>
        </xdr:graphicFrame>
      </mc:Choice>
      <mc:Fallback xmlns="">
        <xdr:sp macro="" textlink="">
          <xdr:nvSpPr>
            <xdr:cNvPr id="0" name=""/>
            <xdr:cNvSpPr>
              <a:spLocks noTextEdit="1"/>
            </xdr:cNvSpPr>
          </xdr:nvSpPr>
          <xdr:spPr>
            <a:xfrm>
              <a:off x="10281557" y="4305662"/>
              <a:ext cx="1828800" cy="24669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8</xdr:col>
      <xdr:colOff>12095</xdr:colOff>
      <xdr:row>41</xdr:row>
      <xdr:rowOff>96762</xdr:rowOff>
    </xdr:from>
    <xdr:to>
      <xdr:col>11</xdr:col>
      <xdr:colOff>774095</xdr:colOff>
      <xdr:row>57</xdr:row>
      <xdr:rowOff>36286</xdr:rowOff>
    </xdr:to>
    <xdr:sp macro="" textlink="">
      <xdr:nvSpPr>
        <xdr:cNvPr id="9" name="CuadroTexto 8">
          <a:extLst>
            <a:ext uri="{FF2B5EF4-FFF2-40B4-BE49-F238E27FC236}">
              <a16:creationId xmlns:a16="http://schemas.microsoft.com/office/drawing/2014/main" id="{255F2928-F5B5-6E62-8B89-B96B83874639}"/>
            </a:ext>
          </a:extLst>
        </xdr:cNvPr>
        <xdr:cNvSpPr txBox="1"/>
      </xdr:nvSpPr>
      <xdr:spPr>
        <a:xfrm>
          <a:off x="7063619" y="7160381"/>
          <a:ext cx="3338286" cy="2648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AR" b="1"/>
            <a:t>CLAVES PARA LA TOMA DE DECISIONES</a:t>
          </a:r>
          <a:endParaRPr lang="es-AR"/>
        </a:p>
        <a:p>
          <a:r>
            <a:rPr lang="es-AR" sz="1100"/>
            <a:t>• Carreras lidera la facturación, aunque mayores ventas no implican necesariamente mayor rentabilidad.</a:t>
          </a:r>
        </a:p>
        <a:p>
          <a:endParaRPr lang="es-AR" sz="1100"/>
        </a:p>
        <a:p>
          <a:r>
            <a:rPr lang="es-AR" sz="1100"/>
            <a:t>• Las ventas fluctúan fuertemente durante el mes; un período más amplio permitiría confirmar si existe una tendencia.</a:t>
          </a:r>
        </a:p>
        <a:p>
          <a:endParaRPr lang="es-AR" sz="1100"/>
        </a:p>
        <a:p>
          <a:r>
            <a:rPr lang="es-AR" sz="1100"/>
            <a:t>• Cantidad y precio influyen en el importe final, por lo que conviene analizar ambas variables en conjunto.</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0</xdr:colOff>
      <xdr:row>3</xdr:row>
      <xdr:rowOff>0</xdr:rowOff>
    </xdr:from>
    <xdr:ext cx="5400000" cy="2880000"/>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228600</xdr:colOff>
      <xdr:row>43</xdr:row>
      <xdr:rowOff>38100</xdr:rowOff>
    </xdr:to>
    <xdr:sp macro="" textlink="">
      <xdr:nvSpPr>
        <xdr:cNvPr id="2050" name="Text Box 2" hidden="1">
          <a:extLst>
            <a:ext uri="{FF2B5EF4-FFF2-40B4-BE49-F238E27FC236}">
              <a16:creationId xmlns:a16="http://schemas.microsoft.com/office/drawing/2014/main" id="{C000DFA1-97A3-1FAD-4DA5-832E9B4A8BA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2" name="AutoShape 2">
          <a:extLst>
            <a:ext uri="{FF2B5EF4-FFF2-40B4-BE49-F238E27FC236}">
              <a16:creationId xmlns:a16="http://schemas.microsoft.com/office/drawing/2014/main" id="{CA27790C-12B9-16A5-E7F9-ED02583D717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3" name="AutoShape 2">
          <a:extLst>
            <a:ext uri="{FF2B5EF4-FFF2-40B4-BE49-F238E27FC236}">
              <a16:creationId xmlns:a16="http://schemas.microsoft.com/office/drawing/2014/main" id="{48D5E95D-F76C-23A6-8149-D0F1D133083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4" name="AutoShape 2">
          <a:extLst>
            <a:ext uri="{FF2B5EF4-FFF2-40B4-BE49-F238E27FC236}">
              <a16:creationId xmlns:a16="http://schemas.microsoft.com/office/drawing/2014/main" id="{64B1CCD6-B542-B828-430B-F7C5D953C9A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5" name="AutoShape 2">
          <a:extLst>
            <a:ext uri="{FF2B5EF4-FFF2-40B4-BE49-F238E27FC236}">
              <a16:creationId xmlns:a16="http://schemas.microsoft.com/office/drawing/2014/main" id="{5C5F295D-5E7F-5268-6944-90057A117CB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6" name="AutoShape 2">
          <a:extLst>
            <a:ext uri="{FF2B5EF4-FFF2-40B4-BE49-F238E27FC236}">
              <a16:creationId xmlns:a16="http://schemas.microsoft.com/office/drawing/2014/main" id="{C77B241A-3A9A-3293-8BD2-E2AB1DB9191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7" name="AutoShape 2">
          <a:extLst>
            <a:ext uri="{FF2B5EF4-FFF2-40B4-BE49-F238E27FC236}">
              <a16:creationId xmlns:a16="http://schemas.microsoft.com/office/drawing/2014/main" id="{AC0C929F-4CEA-B1EC-B4D3-DC442376FD2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8" name="AutoShape 2">
          <a:extLst>
            <a:ext uri="{FF2B5EF4-FFF2-40B4-BE49-F238E27FC236}">
              <a16:creationId xmlns:a16="http://schemas.microsoft.com/office/drawing/2014/main" id="{8C4AFFC1-C3B0-6ECA-3A49-412478F9084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9" name="AutoShape 2">
          <a:extLst>
            <a:ext uri="{FF2B5EF4-FFF2-40B4-BE49-F238E27FC236}">
              <a16:creationId xmlns:a16="http://schemas.microsoft.com/office/drawing/2014/main" id="{6451DA15-54BF-E3E3-52AC-18DF2E47E8F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10" name="AutoShape 2">
          <a:extLst>
            <a:ext uri="{FF2B5EF4-FFF2-40B4-BE49-F238E27FC236}">
              <a16:creationId xmlns:a16="http://schemas.microsoft.com/office/drawing/2014/main" id="{B7ABA1B2-8A9F-542B-CF18-F8FD49B6677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11" name="AutoShape 2">
          <a:extLst>
            <a:ext uri="{FF2B5EF4-FFF2-40B4-BE49-F238E27FC236}">
              <a16:creationId xmlns:a16="http://schemas.microsoft.com/office/drawing/2014/main" id="{D666A58C-CEEF-23A4-80EA-12575A78885B}"/>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12" name="AutoShape 2">
          <a:extLst>
            <a:ext uri="{FF2B5EF4-FFF2-40B4-BE49-F238E27FC236}">
              <a16:creationId xmlns:a16="http://schemas.microsoft.com/office/drawing/2014/main" id="{82628D15-DC82-C6E3-F9BB-883581C6F69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13" name="AutoShape 2">
          <a:extLst>
            <a:ext uri="{FF2B5EF4-FFF2-40B4-BE49-F238E27FC236}">
              <a16:creationId xmlns:a16="http://schemas.microsoft.com/office/drawing/2014/main" id="{B3A93A5E-068F-BD48-978C-45FAEE98DCF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14" name="AutoShape 2">
          <a:extLst>
            <a:ext uri="{FF2B5EF4-FFF2-40B4-BE49-F238E27FC236}">
              <a16:creationId xmlns:a16="http://schemas.microsoft.com/office/drawing/2014/main" id="{F5BCBE09-2562-DCE1-A400-3E0D8AF4B55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15" name="AutoShape 2">
          <a:extLst>
            <a:ext uri="{FF2B5EF4-FFF2-40B4-BE49-F238E27FC236}">
              <a16:creationId xmlns:a16="http://schemas.microsoft.com/office/drawing/2014/main" id="{CE448FD5-145D-E5B7-8D0C-306C63416066}"/>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228600</xdr:colOff>
      <xdr:row>43</xdr:row>
      <xdr:rowOff>38100</xdr:rowOff>
    </xdr:to>
    <xdr:sp macro="" textlink="">
      <xdr:nvSpPr>
        <xdr:cNvPr id="16" name="AutoShape 2">
          <a:extLst>
            <a:ext uri="{FF2B5EF4-FFF2-40B4-BE49-F238E27FC236}">
              <a16:creationId xmlns:a16="http://schemas.microsoft.com/office/drawing/2014/main" id="{9072AC1C-3850-D3D2-6910-74E2F2DA9A8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23</xdr:row>
      <xdr:rowOff>0</xdr:rowOff>
    </xdr:from>
    <xdr:to>
      <xdr:col>14</xdr:col>
      <xdr:colOff>0</xdr:colOff>
      <xdr:row>39</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39</xdr:row>
      <xdr:rowOff>0</xdr:rowOff>
    </xdr:from>
    <xdr:to>
      <xdr:col>14</xdr:col>
      <xdr:colOff>0</xdr:colOff>
      <xdr:row>53</xdr:row>
      <xdr:rowOff>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14</xdr:row>
      <xdr:rowOff>47625</xdr:rowOff>
    </xdr:from>
    <xdr:to>
      <xdr:col>6</xdr:col>
      <xdr:colOff>627776</xdr:colOff>
      <xdr:row>48</xdr:row>
      <xdr:rowOff>86245</xdr:rowOff>
    </xdr:to>
    <xdr:pic>
      <xdr:nvPicPr>
        <xdr:cNvPr id="2" name="/xl/media/image.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1093470</xdr:colOff>
      <xdr:row>15</xdr:row>
      <xdr:rowOff>9525</xdr:rowOff>
    </xdr:from>
    <xdr:to>
      <xdr:col>7</xdr:col>
      <xdr:colOff>742950</xdr:colOff>
      <xdr:row>30</xdr:row>
      <xdr:rowOff>120015</xdr:rowOff>
    </xdr:to>
    <xdr:graphicFrame macro="">
      <xdr:nvGraphicFramePr>
        <xdr:cNvPr id="3" name="Gráfico 2">
          <a:extLst>
            <a:ext uri="{FF2B5EF4-FFF2-40B4-BE49-F238E27FC236}">
              <a16:creationId xmlns:a16="http://schemas.microsoft.com/office/drawing/2014/main" id="{716F3ABC-957F-F612-6A80-D4A29D4C2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14</xdr:row>
      <xdr:rowOff>152400</xdr:rowOff>
    </xdr:from>
    <xdr:to>
      <xdr:col>3</xdr:col>
      <xdr:colOff>581025</xdr:colOff>
      <xdr:row>30</xdr:row>
      <xdr:rowOff>152400</xdr:rowOff>
    </xdr:to>
    <xdr:graphicFrame macro="">
      <xdr:nvGraphicFramePr>
        <xdr:cNvPr id="4" name="Gráfico 3">
          <a:extLst>
            <a:ext uri="{FF2B5EF4-FFF2-40B4-BE49-F238E27FC236}">
              <a16:creationId xmlns:a16="http://schemas.microsoft.com/office/drawing/2014/main" id="{D5F04CAF-2E4F-8661-B500-AA364094A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1144905</xdr:colOff>
      <xdr:row>15</xdr:row>
      <xdr:rowOff>135255</xdr:rowOff>
    </xdr:from>
    <xdr:to>
      <xdr:col>9</xdr:col>
      <xdr:colOff>621030</xdr:colOff>
      <xdr:row>30</xdr:row>
      <xdr:rowOff>30480</xdr:rowOff>
    </xdr:to>
    <mc:AlternateContent xmlns:mc="http://schemas.openxmlformats.org/markup-compatibility/2006" xmlns:a14="http://schemas.microsoft.com/office/drawing/2010/main">
      <mc:Choice Requires="a14">
        <xdr:graphicFrame macro="">
          <xdr:nvGraphicFramePr>
            <xdr:cNvPr id="5" name="Plataforma">
              <a:extLst>
                <a:ext uri="{FF2B5EF4-FFF2-40B4-BE49-F238E27FC236}">
                  <a16:creationId xmlns:a16="http://schemas.microsoft.com/office/drawing/2014/main" id="{D3561900-81D3-5F51-EDA1-5716F0D24E0B}"/>
                </a:ext>
              </a:extLst>
            </xdr:cNvPr>
            <xdr:cNvGraphicFramePr/>
          </xdr:nvGraphicFramePr>
          <xdr:xfrm>
            <a:off x="0" y="0"/>
            <a:ext cx="0" cy="0"/>
          </xdr:xfrm>
          <a:graphic>
            <a:graphicData uri="http://schemas.microsoft.com/office/drawing/2010/slicer">
              <sle:slicer xmlns:sle="http://schemas.microsoft.com/office/drawing/2010/slicer" name="Plataforma"/>
            </a:graphicData>
          </a:graphic>
        </xdr:graphicFrame>
      </mc:Choice>
      <mc:Fallback xmlns="">
        <xdr:sp macro="" textlink="">
          <xdr:nvSpPr>
            <xdr:cNvPr id="0" name=""/>
            <xdr:cNvSpPr>
              <a:spLocks noTextEdit="1"/>
            </xdr:cNvSpPr>
          </xdr:nvSpPr>
          <xdr:spPr>
            <a:xfrm>
              <a:off x="11917680" y="2707005"/>
              <a:ext cx="1828800" cy="24669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9</xdr:col>
      <xdr:colOff>849630</xdr:colOff>
      <xdr:row>15</xdr:row>
      <xdr:rowOff>144780</xdr:rowOff>
    </xdr:from>
    <xdr:to>
      <xdr:col>12</xdr:col>
      <xdr:colOff>106680</xdr:colOff>
      <xdr:row>30</xdr:row>
      <xdr:rowOff>40005</xdr:rowOff>
    </xdr:to>
    <mc:AlternateContent xmlns:mc="http://schemas.openxmlformats.org/markup-compatibility/2006" xmlns:a14="http://schemas.microsoft.com/office/drawing/2010/main">
      <mc:Choice Requires="a14">
        <xdr:graphicFrame macro="">
          <xdr:nvGraphicFramePr>
            <xdr:cNvPr id="6" name="Ciudad">
              <a:extLst>
                <a:ext uri="{FF2B5EF4-FFF2-40B4-BE49-F238E27FC236}">
                  <a16:creationId xmlns:a16="http://schemas.microsoft.com/office/drawing/2014/main" id="{984CF90D-2999-DA6F-6946-7687B95C7F11}"/>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13975080" y="2716530"/>
              <a:ext cx="1828800" cy="246697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22860</xdr:colOff>
          <xdr:row>3</xdr:row>
          <xdr:rowOff>167640</xdr:rowOff>
        </xdr:from>
        <xdr:to>
          <xdr:col>6</xdr:col>
          <xdr:colOff>289560</xdr:colOff>
          <xdr:row>12</xdr:row>
          <xdr:rowOff>106680</xdr:rowOff>
        </xdr:to>
        <xdr:sp macro="" textlink="">
          <xdr:nvSpPr>
            <xdr:cNvPr id="19457" name="Button 1" hidden="1">
              <a:extLst>
                <a:ext uri="{63B3BB69-23CF-44E3-9099-C40C66FF867C}">
                  <a14:compatExt spid="_x0000_s19457"/>
                </a:ext>
                <a:ext uri="{FF2B5EF4-FFF2-40B4-BE49-F238E27FC236}">
                  <a16:creationId xmlns:a16="http://schemas.microsoft.com/office/drawing/2014/main" id="{00000000-0008-0000-1600-0000014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s-AR" sz="1100" b="0" i="0" u="none" strike="noStrike" baseline="0">
                  <a:solidFill>
                    <a:srgbClr val="000000"/>
                  </a:solidFill>
                  <a:latin typeface="Carlito"/>
                </a:rPr>
                <a:t>Archivar Simulación</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7</xdr:col>
      <xdr:colOff>1135380</xdr:colOff>
      <xdr:row>16</xdr:row>
      <xdr:rowOff>118110</xdr:rowOff>
    </xdr:from>
    <xdr:to>
      <xdr:col>9</xdr:col>
      <xdr:colOff>186146</xdr:colOff>
      <xdr:row>30</xdr:row>
      <xdr:rowOff>131445</xdr:rowOff>
    </xdr:to>
    <mc:AlternateContent xmlns:mc="http://schemas.openxmlformats.org/markup-compatibility/2006" xmlns:a14="http://schemas.microsoft.com/office/drawing/2010/main">
      <mc:Choice Requires="a14">
        <xdr:graphicFrame macro="">
          <xdr:nvGraphicFramePr>
            <xdr:cNvPr id="2" name="Ciudad 1">
              <a:extLst>
                <a:ext uri="{FF2B5EF4-FFF2-40B4-BE49-F238E27FC236}">
                  <a16:creationId xmlns:a16="http://schemas.microsoft.com/office/drawing/2014/main" id="{66E8DD97-3AF6-7892-AFF1-650D0C56A05E}"/>
                </a:ext>
              </a:extLst>
            </xdr:cNvPr>
            <xdr:cNvGraphicFramePr/>
          </xdr:nvGraphicFramePr>
          <xdr:xfrm>
            <a:off x="0" y="0"/>
            <a:ext cx="0" cy="0"/>
          </xdr:xfrm>
          <a:graphic>
            <a:graphicData uri="http://schemas.microsoft.com/office/drawing/2010/slicer">
              <sle:slicer xmlns:sle="http://schemas.microsoft.com/office/drawing/2010/slicer" name="Ciudad 1"/>
            </a:graphicData>
          </a:graphic>
        </xdr:graphicFrame>
      </mc:Choice>
      <mc:Fallback xmlns="">
        <xdr:sp macro="" textlink="">
          <xdr:nvSpPr>
            <xdr:cNvPr id="0" name=""/>
            <xdr:cNvSpPr>
              <a:spLocks noTextEdit="1"/>
            </xdr:cNvSpPr>
          </xdr:nvSpPr>
          <xdr:spPr>
            <a:xfrm>
              <a:off x="10921637" y="3035481"/>
              <a:ext cx="1826623" cy="245173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6</xdr:col>
      <xdr:colOff>411480</xdr:colOff>
      <xdr:row>17</xdr:row>
      <xdr:rowOff>41910</xdr:rowOff>
    </xdr:from>
    <xdr:to>
      <xdr:col>7</xdr:col>
      <xdr:colOff>812075</xdr:colOff>
      <xdr:row>31</xdr:row>
      <xdr:rowOff>55245</xdr:rowOff>
    </xdr:to>
    <mc:AlternateContent xmlns:mc="http://schemas.openxmlformats.org/markup-compatibility/2006" xmlns:a14="http://schemas.microsoft.com/office/drawing/2010/main">
      <mc:Choice Requires="a14">
        <xdr:graphicFrame macro="">
          <xdr:nvGraphicFramePr>
            <xdr:cNvPr id="3" name="Categoria">
              <a:extLst>
                <a:ext uri="{FF2B5EF4-FFF2-40B4-BE49-F238E27FC236}">
                  <a16:creationId xmlns:a16="http://schemas.microsoft.com/office/drawing/2014/main" id="{04267BEA-4C2C-856F-B627-4B0172C2DC5E}"/>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8771709" y="3133453"/>
              <a:ext cx="1826623" cy="245173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mc:AlternateContent xmlns:mc="http://schemas.openxmlformats.org/markup-compatibility/2006">
    <mc:Choice xmlns:a14="http://schemas.microsoft.com/office/drawing/2010/main" Requires="a14">
      <xdr:twoCellAnchor>
        <xdr:from>
          <xdr:col>2</xdr:col>
          <xdr:colOff>1379220</xdr:colOff>
          <xdr:row>23</xdr:row>
          <xdr:rowOff>152400</xdr:rowOff>
        </xdr:from>
        <xdr:to>
          <xdr:col>4</xdr:col>
          <xdr:colOff>708660</xdr:colOff>
          <xdr:row>32</xdr:row>
          <xdr:rowOff>99060</xdr:rowOff>
        </xdr:to>
        <xdr:sp macro="" textlink="">
          <xdr:nvSpPr>
            <xdr:cNvPr id="40961" name="Button 1" hidden="1">
              <a:extLst>
                <a:ext uri="{63B3BB69-23CF-44E3-9099-C40C66FF867C}">
                  <a14:compatExt spid="_x0000_s40961"/>
                </a:ext>
                <a:ext uri="{FF2B5EF4-FFF2-40B4-BE49-F238E27FC236}">
                  <a16:creationId xmlns:a16="http://schemas.microsoft.com/office/drawing/2014/main" id="{00000000-0008-0000-1700-000001A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s-AR" sz="1100" b="0" i="0" u="none" strike="noStrike" baseline="0">
                  <a:solidFill>
                    <a:srgbClr val="000000"/>
                  </a:solidFill>
                  <a:latin typeface="Carlito"/>
                </a:rPr>
                <a:t> Actualizar Datos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525780</xdr:colOff>
          <xdr:row>24</xdr:row>
          <xdr:rowOff>68580</xdr:rowOff>
        </xdr:from>
        <xdr:to>
          <xdr:col>2</xdr:col>
          <xdr:colOff>914400</xdr:colOff>
          <xdr:row>32</xdr:row>
          <xdr:rowOff>76200</xdr:rowOff>
        </xdr:to>
        <xdr:sp macro="" textlink="">
          <xdr:nvSpPr>
            <xdr:cNvPr id="40962" name="Button 2" hidden="1">
              <a:extLst>
                <a:ext uri="{63B3BB69-23CF-44E3-9099-C40C66FF867C}">
                  <a14:compatExt spid="_x0000_s40962"/>
                </a:ext>
                <a:ext uri="{FF2B5EF4-FFF2-40B4-BE49-F238E27FC236}">
                  <a16:creationId xmlns:a16="http://schemas.microsoft.com/office/drawing/2014/main" id="{00000000-0008-0000-1700-000002A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s-AR" sz="1100" b="0" i="0" u="none" strike="noStrike" baseline="0">
                  <a:solidFill>
                    <a:srgbClr val="000000"/>
                  </a:solidFill>
                  <a:latin typeface="Carlito"/>
                </a:rPr>
                <a:t>Aplicar Formato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1211580</xdr:colOff>
          <xdr:row>24</xdr:row>
          <xdr:rowOff>76200</xdr:rowOff>
        </xdr:from>
        <xdr:to>
          <xdr:col>6</xdr:col>
          <xdr:colOff>30480</xdr:colOff>
          <xdr:row>32</xdr:row>
          <xdr:rowOff>68580</xdr:rowOff>
        </xdr:to>
        <xdr:sp macro="" textlink="">
          <xdr:nvSpPr>
            <xdr:cNvPr id="40963" name="Button 3" hidden="1">
              <a:extLst>
                <a:ext uri="{63B3BB69-23CF-44E3-9099-C40C66FF867C}">
                  <a14:compatExt spid="_x0000_s40963"/>
                </a:ext>
                <a:ext uri="{FF2B5EF4-FFF2-40B4-BE49-F238E27FC236}">
                  <a16:creationId xmlns:a16="http://schemas.microsoft.com/office/drawing/2014/main" id="{00000000-0008-0000-1700-000003A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s-AR" sz="1100" b="0" i="0" u="none" strike="noStrike" baseline="0">
                  <a:solidFill>
                    <a:srgbClr val="000000"/>
                  </a:solidFill>
                  <a:latin typeface="Carlito"/>
                </a:rPr>
                <a:t>Limpiar Filtros.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609600</xdr:colOff>
          <xdr:row>34</xdr:row>
          <xdr:rowOff>45720</xdr:rowOff>
        </xdr:from>
        <xdr:to>
          <xdr:col>2</xdr:col>
          <xdr:colOff>868680</xdr:colOff>
          <xdr:row>44</xdr:row>
          <xdr:rowOff>7620</xdr:rowOff>
        </xdr:to>
        <xdr:sp macro="" textlink="">
          <xdr:nvSpPr>
            <xdr:cNvPr id="40964" name="Button 4" hidden="1">
              <a:extLst>
                <a:ext uri="{63B3BB69-23CF-44E3-9099-C40C66FF867C}">
                  <a14:compatExt spid="_x0000_s40964"/>
                </a:ext>
                <a:ext uri="{FF2B5EF4-FFF2-40B4-BE49-F238E27FC236}">
                  <a16:creationId xmlns:a16="http://schemas.microsoft.com/office/drawing/2014/main" id="{00000000-0008-0000-1700-000004A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s-AR" sz="1100" b="0" i="0" u="none" strike="noStrike" baseline="0">
                  <a:solidFill>
                    <a:srgbClr val="000000"/>
                  </a:solidFill>
                  <a:latin typeface="Carlito"/>
                </a:rPr>
                <a:t>Exportar pdf</a:t>
              </a: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eo Guerrino" refreshedDate="46296.112046296294" createdVersion="8" refreshedVersion="8" minRefreshableVersion="3" recordCount="50" xr:uid="{B55D185F-3EDC-406E-9B6F-4AC3D0A23142}">
  <cacheSource type="worksheet">
    <worksheetSource name="Tbl_BaseMotor"/>
  </cacheSource>
  <cacheFields count="11">
    <cacheField name="ID_Venta" numFmtId="0">
      <sharedItems/>
    </cacheField>
    <cacheField name="Fecha" numFmtId="14">
      <sharedItems containsSemiMixedTypes="0" containsNonDate="0" containsDate="1" containsString="0" minDate="2026-08-01T00:00:00" maxDate="2026-09-01T00:00:00"/>
    </cacheField>
    <cacheField name="ID_Juego" numFmtId="0">
      <sharedItems/>
    </cacheField>
    <cacheField name="Videojuego" numFmtId="0">
      <sharedItems count="10">
        <s v="Super Mario Bros. Wonder"/>
        <s v="Forza Horizon 5"/>
        <s v="Hogwarts Legacy"/>
        <s v="Stardew Valley"/>
        <s v="Grand Theft Auto V"/>
        <s v="Fortnite"/>
        <s v="EA Sports FC 26"/>
        <s v="Mario Kart 8 Deluxe"/>
        <s v="The Sims 4"/>
        <s v="Minecraft"/>
      </sharedItems>
    </cacheField>
    <cacheField name="Genero" numFmtId="0">
      <sharedItems/>
    </cacheField>
    <cacheField name="Plataforma" numFmtId="0">
      <sharedItems count="4">
        <s v="Nintendo Switch"/>
        <s v="Xbox"/>
        <s v="PS5"/>
        <s v="PC"/>
      </sharedItems>
    </cacheField>
    <cacheField name="ID_Cliente" numFmtId="0">
      <sharedItems/>
    </cacheField>
    <cacheField name="Cliente" numFmtId="0">
      <sharedItems/>
    </cacheField>
    <cacheField name="Ciudad" numFmtId="0">
      <sharedItems count="9">
        <s v="La Plata"/>
        <s v="Mar del Plata"/>
        <s v="Tucumán"/>
        <s v="Rosario"/>
        <s v="Córdoba"/>
        <s v="Buenos Aires"/>
        <s v="Mendoza"/>
        <s v="Santa Fe"/>
        <s v="Neuquén"/>
      </sharedItems>
    </cacheField>
    <cacheField name="Cantidad" numFmtId="0">
      <sharedItems containsSemiMixedTypes="0" containsString="0" containsNumber="1" containsInteger="1" minValue="1" maxValue="3"/>
    </cacheField>
    <cacheField name="Total_Venta" numFmtId="0">
      <sharedItems containsSemiMixedTypes="0" containsString="0" containsNumber="1" containsInteger="1" minValue="0" maxValue="209997"/>
    </cacheField>
  </cacheFields>
  <extLst>
    <ext xmlns:x14="http://schemas.microsoft.com/office/spreadsheetml/2009/9/main" uri="{725AE2AE-9491-48be-B2B4-4EB974FC3084}">
      <x14:pivotCacheDefinition pivotCacheId="18022333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eo Guerrino" refreshedDate="46296.112046759263" createdVersion="8" refreshedVersion="8" minRefreshableVersion="3" recordCount="48" xr:uid="{7267D333-C896-40A8-82F3-BB473F97CEF3}">
  <cacheSource type="worksheet">
    <worksheetSource name="Fact_Ventas"/>
  </cacheSource>
  <cacheFields count="12">
    <cacheField name="ID_Venta" numFmtId="0">
      <sharedItems/>
    </cacheField>
    <cacheField name="Fecha" numFmtId="14">
      <sharedItems containsSemiMixedTypes="0" containsNonDate="0" containsDate="1" containsString="0" minDate="2026-08-01T00:00:00" maxDate="2026-09-01T00:00:00"/>
    </cacheField>
    <cacheField name="ID_Cliente" numFmtId="0">
      <sharedItems/>
    </cacheField>
    <cacheField name="Cliente" numFmtId="0">
      <sharedItems/>
    </cacheField>
    <cacheField name="Ciudad" numFmtId="0">
      <sharedItems count="9">
        <s v="La Plata"/>
        <s v="Mendoza"/>
        <s v="Buenos Aires"/>
        <s v="Tucumán"/>
        <s v="Rosario"/>
        <s v="Mar Del Plata"/>
        <s v="Neuquén"/>
        <s v="Córdoba"/>
        <s v="Santa Fe"/>
      </sharedItems>
    </cacheField>
    <cacheField name="ID_Juego" numFmtId="0">
      <sharedItems/>
    </cacheField>
    <cacheField name="Videojuego" numFmtId="0">
      <sharedItems/>
    </cacheField>
    <cacheField name="Categoria" numFmtId="0">
      <sharedItems count="8">
        <s v="Sandbox"/>
        <s v="Deportes"/>
        <s v="Carreras"/>
        <s v="Battle Royale"/>
        <s v="Simulación"/>
        <s v="Acción"/>
        <s v="Aventura"/>
        <s v="Plataformas"/>
      </sharedItems>
    </cacheField>
    <cacheField name="Plataforma" numFmtId="0">
      <sharedItems count="4">
        <s v="PC"/>
        <s v="PS5"/>
        <s v="Nintendo Switch"/>
        <s v="Xbox"/>
      </sharedItems>
    </cacheField>
    <cacheField name="Cantidad" numFmtId="0">
      <sharedItems containsSemiMixedTypes="0" containsString="0" containsNumber="1" containsInteger="1" minValue="1" maxValue="3"/>
    </cacheField>
    <cacheField name="Precio_Unitario" numFmtId="0">
      <sharedItems containsSemiMixedTypes="0" containsString="0" containsNumber="1" containsInteger="1" minValue="0" maxValue="69999"/>
    </cacheField>
    <cacheField name="Total_Venta" numFmtId="0">
      <sharedItems containsSemiMixedTypes="0" containsString="0" containsNumber="1" containsInteger="1" minValue="0" maxValue="209997"/>
    </cacheField>
  </cacheFields>
  <extLst>
    <ext xmlns:x14="http://schemas.microsoft.com/office/spreadsheetml/2009/9/main" uri="{725AE2AE-9491-48be-B2B4-4EB974FC3084}">
      <x14:pivotCacheDefinition pivotCacheId="16780324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eo Guerrino" refreshedDate="46296.820714004629" backgroundQuery="1" createdVersion="8" refreshedVersion="8" minRefreshableVersion="3" recordCount="0" supportSubquery="1" supportAdvancedDrill="1" xr:uid="{9D582340-B985-4BD5-B20D-DCE22A94B20C}">
  <cacheSource type="external" connectionId="5"/>
  <cacheFields count="2">
    <cacheField name="[Fact_Ventas].[Cantidad].[Cantidad]" caption="Cantidad" numFmtId="0" hierarchy="20"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Fact_Ventas].[Cantidad].&amp;[1]"/>
            <x15:cachedUniqueName index="1" name="[Fact_Ventas].[Cantidad].&amp;[2]"/>
            <x15:cachedUniqueName index="2" name="[Fact_Ventas].[Cantidad].&amp;[3]"/>
          </x15:cachedUniqueNames>
        </ext>
      </extLst>
    </cacheField>
    <cacheField name="[Measures].[Sum of Total_Venta]" caption="Sum of Total_Venta" numFmtId="0" hierarchy="23" level="32767"/>
  </cacheFields>
  <cacheHierarchies count="30">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20" unbalanced="0"/>
    <cacheHierarchy uniqueName="[Dim_Calendario].[Nombre del mes]" caption="Nombre del mes" attribute="1" defaultMemberUniqueName="[Dim_Calendario].[Nombre del mes].[All]" allUniqueName="[Dim_Calendario].[Nombre del mes].[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Clientes].[Cliente]" caption="Cliente" attribute="1" defaultMemberUniqueName="[Dim_Clientes].[Cliente].[All]" allUniqueName="[Dim_Clientes].[Cliente].[All]" dimensionUniqueName="[Dim_Clientes]" displayFolder="" count="0" memberValueDatatype="130" unbalanced="0"/>
    <cacheHierarchy uniqueName="[Dim_Clientes].[Ciudad]" caption="Ciudad" attribute="1" defaultMemberUniqueName="[Dim_Clientes].[Ciudad].[All]" allUniqueName="[Dim_Clientes].[Ciudad].[All]" dimensionUniqueName="[Dim_Clientes]" displayFolder="" count="0" memberValueDatatype="130" unbalanced="0"/>
    <cacheHierarchy uniqueName="[Dim_Productos].[ID_Juego]" caption="ID_Juego" attribute="1" defaultMemberUniqueName="[Dim_Productos].[ID_Juego].[All]" allUniqueName="[Dim_Productos].[ID_Juego].[All]" dimensionUniqueName="[Dim_Productos]" displayFolder="" count="0" memberValueDatatype="130" unbalanced="0"/>
    <cacheHierarchy uniqueName="[Dim_Productos].[Videojuego]" caption="Videojuego" attribute="1" defaultMemberUniqueName="[Dim_Productos].[Videojuego].[All]" allUniqueName="[Dim_Productos].[Videojuego].[All]" dimensionUniqueName="[Dim_Productos]" displayFolder="" count="0" memberValueDatatype="130" unbalanced="0"/>
    <cacheHierarchy uniqueName="[Dim_Productos].[Categoria]" caption="Categoria" attribute="1" defaultMemberUniqueName="[Dim_Productos].[Categoria].[All]" allUniqueName="[Dim_Productos].[Categoria].[All]" dimensionUniqueName="[Dim_Productos]" displayFolder="" count="0" memberValueDatatype="130" unbalanced="0"/>
    <cacheHierarchy uniqueName="[Dim_Productos].[Plataforma]" caption="Plataforma" attribute="1" defaultMemberUniqueName="[Dim_Productos].[Plataforma].[All]" allUniqueName="[Dim_Productos].[Plataforma].[All]" dimensionUniqueName="[Dim_Productos]" displayFolder="" count="0" memberValueDatatype="130" unbalanced="0"/>
    <cacheHierarchy uniqueName="[Fact_Ventas].[ID_Venta]" caption="ID_Venta" attribute="1" defaultMemberUniqueName="[Fact_Ventas].[ID_Venta].[All]" allUniqueName="[Fact_Ventas].[ID_Venta].[All]" dimensionUniqueName="[Fact_Ventas]" displayFolder="" count="0" memberValueDatatype="130" unbalanced="0"/>
    <cacheHierarchy uniqueName="[Fact_Ventas].[Fecha]" caption="Fecha" attribute="1" time="1" defaultMemberUniqueName="[Fact_Ventas].[Fecha].[All]" allUniqueName="[Fact_Ventas].[Fecha].[All]" dimensionUniqueName="[Fact_Ventas]" displayFolder="" count="0" memberValueDatatype="7" unbalanced="0"/>
    <cacheHierarchy uniqueName="[Fact_Ventas].[ID_Cliente]" caption="ID_Cliente" attribute="1" defaultMemberUniqueName="[Fact_Ventas].[ID_Cliente].[All]" allUniqueName="[Fact_Ventas].[ID_Cliente].[All]" dimensionUniqueName="[Fact_Ventas]" displayFolder="" count="0" memberValueDatatype="130" unbalanced="0"/>
    <cacheHierarchy uniqueName="[Fact_Ventas].[Cliente]" caption="Cliente" attribute="1" defaultMemberUniqueName="[Fact_Ventas].[Cliente].[All]" allUniqueName="[Fact_Ventas].[Cliente].[All]" dimensionUniqueName="[Fact_Ventas]" displayFolder="" count="0" memberValueDatatype="130" unbalanced="0"/>
    <cacheHierarchy uniqueName="[Fact_Ventas].[Ciudad]" caption="Ciudad" attribute="1" defaultMemberUniqueName="[Fact_Ventas].[Ciudad].[All]" allUniqueName="[Fact_Ventas].[Ciudad].[All]" dimensionUniqueName="[Fact_Ventas]" displayFolder="" count="0" memberValueDatatype="130" unbalanced="0"/>
    <cacheHierarchy uniqueName="[Fact_Ventas].[ID_Juego]" caption="ID_Juego" attribute="1" defaultMemberUniqueName="[Fact_Ventas].[ID_Juego].[All]" allUniqueName="[Fact_Ventas].[ID_Juego].[All]" dimensionUniqueName="[Fact_Ventas]" displayFolder="" count="0" memberValueDatatype="130" unbalanced="0"/>
    <cacheHierarchy uniqueName="[Fact_Ventas].[Videojuego]" caption="Videojuego" attribute="1" defaultMemberUniqueName="[Fact_Ventas].[Videojuego].[All]" allUniqueName="[Fact_Ventas].[Videojuego].[All]" dimensionUniqueName="[Fact_Ventas]" displayFolder="" count="0" memberValueDatatype="130" unbalanced="0"/>
    <cacheHierarchy uniqueName="[Fact_Ventas].[Categoria]" caption="Categoria" attribute="1" defaultMemberUniqueName="[Fact_Ventas].[Categoria].[All]" allUniqueName="[Fact_Ventas].[Categoria].[All]" dimensionUniqueName="[Fact_Ventas]" displayFolder="" count="0" memberValueDatatype="130" unbalanced="0"/>
    <cacheHierarchy uniqueName="[Fact_Ventas].[Plataforma]" caption="Plataforma" attribute="1" defaultMemberUniqueName="[Fact_Ventas].[Plataforma].[All]" allUniqueName="[Fact_Ventas].[Plataforma].[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2" memberValueDatatype="20" unbalanced="0">
      <fieldsUsage count="2">
        <fieldUsage x="-1"/>
        <fieldUsage x="0"/>
      </fieldsUsage>
    </cacheHierarchy>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Total_Venta]" caption="Total_Venta" attribute="1" defaultMemberUniqueName="[Fact_Ventas].[Total_Venta].[All]" allUniqueName="[Fact_Ventas].[Total_Venta].[All]" dimensionUniqueName="[Fact_Ventas]" displayFolder="" count="0" memberValueDatatype="20" unbalanced="0"/>
    <cacheHierarchy uniqueName="[Measures].[Sum of Total_Venta]" caption="Sum of Total_Venta" measure="1" displayFolder="" measureGroup="Fact_Ventas" count="0" oneField="1">
      <fieldsUsage count="1">
        <fieldUsage x="1"/>
      </fieldsUsage>
    </cacheHierarchy>
    <cacheHierarchy uniqueName="[Measures].[Ticket Promedio]" caption="Ticket Promedio"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eo Guerrino" refreshedDate="46296.842014699076" backgroundQuery="1" createdVersion="8" refreshedVersion="8" minRefreshableVersion="3" recordCount="0" supportSubquery="1" supportAdvancedDrill="1" xr:uid="{B5CE286E-2AFA-47A2-AE9E-C1869E82431D}">
  <cacheSource type="external" connectionId="5"/>
  <cacheFields count="2">
    <cacheField name="[Dim_Productos].[Categoria].[Categoria]" caption="Categoria" numFmtId="0" hierarchy="9" level="1">
      <sharedItems count="8">
        <s v="Acción"/>
        <s v="Aventura"/>
        <s v="Battle Royale"/>
        <s v="Carreras"/>
        <s v="Deportes"/>
        <s v="Plataformas"/>
        <s v="Sandbox"/>
        <s v="Simulación"/>
      </sharedItems>
    </cacheField>
    <cacheField name="[Measures].[Sum of Total_Venta]" caption="Sum of Total_Venta" numFmtId="0" hierarchy="23" level="32767"/>
  </cacheFields>
  <cacheHierarchies count="30">
    <cacheHierarchy uniqueName="[Dim_Calendario].[Fecha]" caption="Fecha" attribute="1" time="1" defaultMemberUniqueName="[Dim_Calendario].[Fecha].[All]" allUniqueName="[Dim_Calendario].[Fecha].[All]" dimensionUniqueName="[Dim_Calendario]" displayFolder="" count="2" memberValueDatatype="7" unbalanced="0"/>
    <cacheHierarchy uniqueName="[Dim_Calendario].[Año]" caption="Año" attribute="1" defaultMemberUniqueName="[Dim_Calendario].[Año].[All]" allUniqueName="[Dim_Calendario].[Año].[All]" dimensionUniqueName="[Dim_Calendario]" displayFolder="" count="2" memberValueDatatype="20" unbalanced="0"/>
    <cacheHierarchy uniqueName="[Dim_Calendario].[Mes]" caption="Mes" attribute="1" defaultMemberUniqueName="[Dim_Calendario].[Mes].[All]" allUniqueName="[Dim_Calendario].[Mes].[All]" dimensionUniqueName="[Dim_Calendario]" displayFolder="" count="2" memberValueDatatype="20" unbalanced="0"/>
    <cacheHierarchy uniqueName="[Dim_Calendario].[Nombre del mes]" caption="Nombre del mes" attribute="1" defaultMemberUniqueName="[Dim_Calendario].[Nombre del mes].[All]" allUniqueName="[Dim_Calendario].[Nombre del mes].[All]" dimensionUniqueName="[Dim_Calendario]" displayFolder="" count="2" memberValueDatatype="130" unbalanced="0"/>
    <cacheHierarchy uniqueName="[Dim_Clientes].[ID_Cliente]" caption="ID_Cliente" attribute="1" defaultMemberUniqueName="[Dim_Clientes].[ID_Cliente].[All]" allUniqueName="[Dim_Clientes].[ID_Cliente].[All]" dimensionUniqueName="[Dim_Clientes]" displayFolder="" count="2" memberValueDatatype="130" unbalanced="0"/>
    <cacheHierarchy uniqueName="[Dim_Clientes].[Cliente]" caption="Cliente" attribute="1" defaultMemberUniqueName="[Dim_Clientes].[Cliente].[All]" allUniqueName="[Dim_Clientes].[Cliente].[All]" dimensionUniqueName="[Dim_Clientes]" displayFolder="" count="2" memberValueDatatype="130" unbalanced="0"/>
    <cacheHierarchy uniqueName="[Dim_Clientes].[Ciudad]" caption="Ciudad" attribute="1" defaultMemberUniqueName="[Dim_Clientes].[Ciudad].[All]" allUniqueName="[Dim_Clientes].[Ciudad].[All]" dimensionUniqueName="[Dim_Clientes]" displayFolder="" count="2" memberValueDatatype="130" unbalanced="0"/>
    <cacheHierarchy uniqueName="[Dim_Productos].[ID_Juego]" caption="ID_Juego" attribute="1" defaultMemberUniqueName="[Dim_Productos].[ID_Juego].[All]" allUniqueName="[Dim_Productos].[ID_Juego].[All]" dimensionUniqueName="[Dim_Productos]" displayFolder="" count="2" memberValueDatatype="130" unbalanced="0"/>
    <cacheHierarchy uniqueName="[Dim_Productos].[Videojuego]" caption="Videojuego" attribute="1" defaultMemberUniqueName="[Dim_Productos].[Videojuego].[All]" allUniqueName="[Dim_Productos].[Videojuego].[All]" dimensionUniqueName="[Dim_Productos]" displayFolder="" count="2" memberValueDatatype="130" unbalanced="0"/>
    <cacheHierarchy uniqueName="[Dim_Productos].[Categoria]" caption="Categoria" attribute="1" defaultMemberUniqueName="[Dim_Productos].[Categoria].[All]" allUniqueName="[Dim_Productos].[Categoria].[All]" dimensionUniqueName="[Dim_Productos]" displayFolder="" count="2" memberValueDatatype="130" unbalanced="0">
      <fieldsUsage count="2">
        <fieldUsage x="-1"/>
        <fieldUsage x="0"/>
      </fieldsUsage>
    </cacheHierarchy>
    <cacheHierarchy uniqueName="[Dim_Productos].[Plataforma]" caption="Plataforma" attribute="1" defaultMemberUniqueName="[Dim_Productos].[Plataforma].[All]" allUniqueName="[Dim_Productos].[Plataforma].[All]" dimensionUniqueName="[Dim_Productos]" displayFolder="" count="2" memberValueDatatype="130" unbalanced="0"/>
    <cacheHierarchy uniqueName="[Fact_Ventas].[ID_Venta]" caption="ID_Venta" attribute="1" defaultMemberUniqueName="[Fact_Ventas].[ID_Venta].[All]" allUniqueName="[Fact_Ventas].[ID_Venta].[All]" dimensionUniqueName="[Fact_Ventas]" displayFolder="" count="2" memberValueDatatype="130" unbalanced="0"/>
    <cacheHierarchy uniqueName="[Fact_Ventas].[Fecha]" caption="Fecha" attribute="1" time="1" defaultMemberUniqueName="[Fact_Ventas].[Fecha].[All]" allUniqueName="[Fact_Ventas].[Fecha].[All]" dimensionUniqueName="[Fact_Ventas]" displayFolder="" count="2" memberValueDatatype="7" unbalanced="0"/>
    <cacheHierarchy uniqueName="[Fact_Ventas].[ID_Cliente]" caption="ID_Cliente" attribute="1" defaultMemberUniqueName="[Fact_Ventas].[ID_Cliente].[All]" allUniqueName="[Fact_Ventas].[ID_Cliente].[All]" dimensionUniqueName="[Fact_Ventas]" displayFolder="" count="2" memberValueDatatype="130" unbalanced="0"/>
    <cacheHierarchy uniqueName="[Fact_Ventas].[Cliente]" caption="Cliente" attribute="1" defaultMemberUniqueName="[Fact_Ventas].[Cliente].[All]" allUniqueName="[Fact_Ventas].[Cliente].[All]" dimensionUniqueName="[Fact_Ventas]" displayFolder="" count="2" memberValueDatatype="130" unbalanced="0"/>
    <cacheHierarchy uniqueName="[Fact_Ventas].[Ciudad]" caption="Ciudad" attribute="1" defaultMemberUniqueName="[Fact_Ventas].[Ciudad].[All]" allUniqueName="[Fact_Ventas].[Ciudad].[All]" dimensionUniqueName="[Fact_Ventas]" displayFolder="" count="2" memberValueDatatype="130" unbalanced="0"/>
    <cacheHierarchy uniqueName="[Fact_Ventas].[ID_Juego]" caption="ID_Juego" attribute="1" defaultMemberUniqueName="[Fact_Ventas].[ID_Juego].[All]" allUniqueName="[Fact_Ventas].[ID_Juego].[All]" dimensionUniqueName="[Fact_Ventas]" displayFolder="" count="2" memberValueDatatype="130" unbalanced="0"/>
    <cacheHierarchy uniqueName="[Fact_Ventas].[Videojuego]" caption="Videojuego" attribute="1" defaultMemberUniqueName="[Fact_Ventas].[Videojuego].[All]" allUniqueName="[Fact_Ventas].[Videojuego].[All]" dimensionUniqueName="[Fact_Ventas]" displayFolder="" count="2" memberValueDatatype="130" unbalanced="0"/>
    <cacheHierarchy uniqueName="[Fact_Ventas].[Categoria]" caption="Categoria" attribute="1" defaultMemberUniqueName="[Fact_Ventas].[Categoria].[All]" allUniqueName="[Fact_Ventas].[Categoria].[All]" dimensionUniqueName="[Fact_Ventas]" displayFolder="" count="2" memberValueDatatype="130" unbalanced="0"/>
    <cacheHierarchy uniqueName="[Fact_Ventas].[Plataforma]" caption="Plataforma" attribute="1" defaultMemberUniqueName="[Fact_Ventas].[Plataforma].[All]" allUniqueName="[Fact_Ventas].[Plataforma].[All]" dimensionUniqueName="[Fact_Ventas]" displayFolder="" count="2" memberValueDatatype="130" unbalanced="0"/>
    <cacheHierarchy uniqueName="[Fact_Ventas].[Cantidad]" caption="Cantidad" attribute="1" defaultMemberUniqueName="[Fact_Ventas].[Cantidad].[All]" allUniqueName="[Fact_Ventas].[Cantidad].[All]" dimensionUniqueName="[Fact_Ventas]" displayFolder="" count="2" memberValueDatatype="20" unbalanced="0"/>
    <cacheHierarchy uniqueName="[Fact_Ventas].[Precio_Unitario]" caption="Precio_Unitario" attribute="1" defaultMemberUniqueName="[Fact_Ventas].[Precio_Unitario].[All]" allUniqueName="[Fact_Ventas].[Precio_Unitario].[All]" dimensionUniqueName="[Fact_Ventas]" displayFolder="" count="2" memberValueDatatype="20" unbalanced="0"/>
    <cacheHierarchy uniqueName="[Fact_Ventas].[Total_Venta]" caption="Total_Venta" attribute="1" defaultMemberUniqueName="[Fact_Ventas].[Total_Venta].[All]" allUniqueName="[Fact_Ventas].[Total_Venta].[All]" dimensionUniqueName="[Fact_Ventas]" displayFolder="" count="2" memberValueDatatype="20" unbalanced="0"/>
    <cacheHierarchy uniqueName="[Measures].[Sum of Total_Venta]" caption="Sum of Total_Venta" measure="1" displayFolder="" measureGroup="Fact_Ventas" count="0" oneField="1">
      <fieldsUsage count="1">
        <fieldUsage x="1"/>
      </fieldsUsage>
    </cacheHierarchy>
    <cacheHierarchy uniqueName="[Measures].[Ticket Promedio]" caption="Ticket Promedio"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eo Guerrino" refreshedDate="46296.842015162038" backgroundQuery="1" createdVersion="8" refreshedVersion="8" minRefreshableVersion="3" recordCount="0" supportSubquery="1" supportAdvancedDrill="1" xr:uid="{1F4C083E-DD62-4997-8FB5-B09158553C05}">
  <cacheSource type="external" connectionId="5"/>
  <cacheFields count="3">
    <cacheField name="[Measures].[Sum of Total_Venta]" caption="Sum of Total_Venta" numFmtId="0" hierarchy="23" level="32767"/>
    <cacheField name="[Measures].[Ticket Promedio]" caption="Ticket Promedio" numFmtId="0" hierarchy="24" level="32767"/>
    <cacheField name="[Dim_Productos].[Categoria].[Categoria]" caption="Categoria" numFmtId="0" hierarchy="9" level="1">
      <sharedItems containsSemiMixedTypes="0" containsNonDate="0" containsString="0"/>
    </cacheField>
  </cacheFields>
  <cacheHierarchies count="30">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20" unbalanced="0"/>
    <cacheHierarchy uniqueName="[Dim_Calendario].[Nombre del mes]" caption="Nombre del mes" attribute="1" defaultMemberUniqueName="[Dim_Calendario].[Nombre del mes].[All]" allUniqueName="[Dim_Calendario].[Nombre del mes].[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Clientes].[Cliente]" caption="Cliente" attribute="1" defaultMemberUniqueName="[Dim_Clientes].[Cliente].[All]" allUniqueName="[Dim_Clientes].[Cliente].[All]" dimensionUniqueName="[Dim_Clientes]" displayFolder="" count="0" memberValueDatatype="130" unbalanced="0"/>
    <cacheHierarchy uniqueName="[Dim_Clientes].[Ciudad]" caption="Ciudad" attribute="1" defaultMemberUniqueName="[Dim_Clientes].[Ciudad].[All]" allUniqueName="[Dim_Clientes].[Ciudad].[All]" dimensionUniqueName="[Dim_Clientes]" displayFolder="" count="2" memberValueDatatype="130" unbalanced="0"/>
    <cacheHierarchy uniqueName="[Dim_Productos].[ID_Juego]" caption="ID_Juego" attribute="1" defaultMemberUniqueName="[Dim_Productos].[ID_Juego].[All]" allUniqueName="[Dim_Productos].[ID_Juego].[All]" dimensionUniqueName="[Dim_Productos]" displayFolder="" count="0" memberValueDatatype="130" unbalanced="0"/>
    <cacheHierarchy uniqueName="[Dim_Productos].[Videojuego]" caption="Videojuego" attribute="1" defaultMemberUniqueName="[Dim_Productos].[Videojuego].[All]" allUniqueName="[Dim_Productos].[Videojuego].[All]" dimensionUniqueName="[Dim_Productos]" displayFolder="" count="0" memberValueDatatype="130" unbalanced="0"/>
    <cacheHierarchy uniqueName="[Dim_Productos].[Categoria]" caption="Categoria" attribute="1" defaultMemberUniqueName="[Dim_Productos].[Categoria].[All]" allUniqueName="[Dim_Productos].[Categoria].[All]" dimensionUniqueName="[Dim_Productos]" displayFolder="" count="2" memberValueDatatype="130" unbalanced="0">
      <fieldsUsage count="2">
        <fieldUsage x="-1"/>
        <fieldUsage x="2"/>
      </fieldsUsage>
    </cacheHierarchy>
    <cacheHierarchy uniqueName="[Dim_Productos].[Plataforma]" caption="Plataforma" attribute="1" defaultMemberUniqueName="[Dim_Productos].[Plataforma].[All]" allUniqueName="[Dim_Productos].[Plataforma].[All]" dimensionUniqueName="[Dim_Productos]" displayFolder="" count="2" memberValueDatatype="130" unbalanced="0"/>
    <cacheHierarchy uniqueName="[Fact_Ventas].[ID_Venta]" caption="ID_Venta" attribute="1" defaultMemberUniqueName="[Fact_Ventas].[ID_Venta].[All]" allUniqueName="[Fact_Ventas].[ID_Venta].[All]" dimensionUniqueName="[Fact_Ventas]" displayFolder="" count="0" memberValueDatatype="130" unbalanced="0"/>
    <cacheHierarchy uniqueName="[Fact_Ventas].[Fecha]" caption="Fecha" attribute="1" time="1" defaultMemberUniqueName="[Fact_Ventas].[Fecha].[All]" allUniqueName="[Fact_Ventas].[Fecha].[All]" dimensionUniqueName="[Fact_Ventas]" displayFolder="" count="0" memberValueDatatype="7" unbalanced="0"/>
    <cacheHierarchy uniqueName="[Fact_Ventas].[ID_Cliente]" caption="ID_Cliente" attribute="1" defaultMemberUniqueName="[Fact_Ventas].[ID_Cliente].[All]" allUniqueName="[Fact_Ventas].[ID_Cliente].[All]" dimensionUniqueName="[Fact_Ventas]" displayFolder="" count="0" memberValueDatatype="130" unbalanced="0"/>
    <cacheHierarchy uniqueName="[Fact_Ventas].[Cliente]" caption="Cliente" attribute="1" defaultMemberUniqueName="[Fact_Ventas].[Cliente].[All]" allUniqueName="[Fact_Ventas].[Cliente].[All]" dimensionUniqueName="[Fact_Ventas]" displayFolder="" count="0" memberValueDatatype="130" unbalanced="0"/>
    <cacheHierarchy uniqueName="[Fact_Ventas].[Ciudad]" caption="Ciudad" attribute="1" defaultMemberUniqueName="[Fact_Ventas].[Ciudad].[All]" allUniqueName="[Fact_Ventas].[Ciudad].[All]" dimensionUniqueName="[Fact_Ventas]" displayFolder="" count="0" memberValueDatatype="130" unbalanced="0"/>
    <cacheHierarchy uniqueName="[Fact_Ventas].[ID_Juego]" caption="ID_Juego" attribute="1" defaultMemberUniqueName="[Fact_Ventas].[ID_Juego].[All]" allUniqueName="[Fact_Ventas].[ID_Juego].[All]" dimensionUniqueName="[Fact_Ventas]" displayFolder="" count="0" memberValueDatatype="130" unbalanced="0"/>
    <cacheHierarchy uniqueName="[Fact_Ventas].[Videojuego]" caption="Videojuego" attribute="1" defaultMemberUniqueName="[Fact_Ventas].[Videojuego].[All]" allUniqueName="[Fact_Ventas].[Videojuego].[All]" dimensionUniqueName="[Fact_Ventas]" displayFolder="" count="0" memberValueDatatype="130" unbalanced="0"/>
    <cacheHierarchy uniqueName="[Fact_Ventas].[Categoria]" caption="Categoria" attribute="1" defaultMemberUniqueName="[Fact_Ventas].[Categoria].[All]" allUniqueName="[Fact_Ventas].[Categoria].[All]" dimensionUniqueName="[Fact_Ventas]" displayFolder="" count="0" memberValueDatatype="130" unbalanced="0"/>
    <cacheHierarchy uniqueName="[Fact_Ventas].[Plataforma]" caption="Plataforma" attribute="1" defaultMemberUniqueName="[Fact_Ventas].[Plataforma].[All]" allUniqueName="[Fact_Ventas].[Plataforma].[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Total_Venta]" caption="Total_Venta" attribute="1" defaultMemberUniqueName="[Fact_Ventas].[Total_Venta].[All]" allUniqueName="[Fact_Ventas].[Total_Venta].[All]" dimensionUniqueName="[Fact_Ventas]" displayFolder="" count="2" memberValueDatatype="20" unbalanced="0"/>
    <cacheHierarchy uniqueName="[Measures].[Sum of Total_Venta]" caption="Sum of Total_Venta" measure="1" displayFolder="" measureGroup="Fact_Ventas" count="0" oneField="1">
      <fieldsUsage count="1">
        <fieldUsage x="0"/>
      </fieldsUsage>
    </cacheHierarchy>
    <cacheHierarchy uniqueName="[Measures].[Ticket Promedio]" caption="Ticket Promedio" measure="1" displayFolder="" measureGroup="Fact_Ventas" count="0" oneField="1">
      <fieldsUsage count="1">
        <fieldUsage x="1"/>
      </fieldsUsage>
    </cacheHierarchy>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eo Guerrino" refreshedDate="46296.842015740738" backgroundQuery="1" createdVersion="8" refreshedVersion="8" minRefreshableVersion="3" recordCount="0" supportSubquery="1" supportAdvancedDrill="1" xr:uid="{E5528462-8312-4AC4-B8B8-D4AD7DF8EEF4}">
  <cacheSource type="external" connectionId="5"/>
  <cacheFields count="3">
    <cacheField name="[Dim_Calendario].[Fecha].[Fecha]" caption="Fecha" numFmtId="0" level="1">
      <sharedItems containsSemiMixedTypes="0" containsNonDate="0" containsDate="1" containsString="0" minDate="2026-08-01T00:00:00" maxDate="2026-09-01T00:00:00" count="31">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sharedItems>
    </cacheField>
    <cacheField name="[Measures].[Sum of Total_Venta]" caption="Sum of Total_Venta" numFmtId="0" hierarchy="23" level="32767"/>
    <cacheField name="[Dim_Productos].[Categoria].[Categoria]" caption="Categoria" numFmtId="0" hierarchy="9" level="1">
      <sharedItems containsSemiMixedTypes="0" containsNonDate="0" containsString="0"/>
    </cacheField>
  </cacheFields>
  <cacheHierarchies count="30">
    <cacheHierarchy uniqueName="[Dim_Calendario].[Fecha]" caption="Fecha" attribute="1" time="1" defaultMemberUniqueName="[Dim_Calendario].[Fecha].[All]" allUniqueName="[Dim_Calendario].[Fecha].[All]" dimensionUniqueName="[Dim_Calendario]" displayFolder="" count="2" memberValueDatatype="7" unbalanced="0">
      <fieldsUsage count="2">
        <fieldUsage x="-1"/>
        <fieldUsage x="0"/>
      </fieldsUsage>
    </cacheHierarchy>
    <cacheHierarchy uniqueName="[Dim_Calendario].[Año]" caption="Año" attribute="1" defaultMemberUniqueName="[Dim_Calendario].[Año].[All]" allUniqueName="[Dim_Calendario].[Año].[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20" unbalanced="0"/>
    <cacheHierarchy uniqueName="[Dim_Calendario].[Nombre del mes]" caption="Nombre del mes" attribute="1" defaultMemberUniqueName="[Dim_Calendario].[Nombre del mes].[All]" allUniqueName="[Dim_Calendario].[Nombre del mes].[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Clientes].[Cliente]" caption="Cliente" attribute="1" defaultMemberUniqueName="[Dim_Clientes].[Cliente].[All]" allUniqueName="[Dim_Clientes].[Cliente].[All]" dimensionUniqueName="[Dim_Clientes]" displayFolder="" count="0" memberValueDatatype="130" unbalanced="0"/>
    <cacheHierarchy uniqueName="[Dim_Clientes].[Ciudad]" caption="Ciudad" attribute="1" defaultMemberUniqueName="[Dim_Clientes].[Ciudad].[All]" allUniqueName="[Dim_Clientes].[Ciudad].[All]" dimensionUniqueName="[Dim_Clientes]" displayFolder="" count="2" memberValueDatatype="130" unbalanced="0"/>
    <cacheHierarchy uniqueName="[Dim_Productos].[ID_Juego]" caption="ID_Juego" attribute="1" defaultMemberUniqueName="[Dim_Productos].[ID_Juego].[All]" allUniqueName="[Dim_Productos].[ID_Juego].[All]" dimensionUniqueName="[Dim_Productos]" displayFolder="" count="0" memberValueDatatype="130" unbalanced="0"/>
    <cacheHierarchy uniqueName="[Dim_Productos].[Videojuego]" caption="Videojuego" attribute="1" defaultMemberUniqueName="[Dim_Productos].[Videojuego].[All]" allUniqueName="[Dim_Productos].[Videojuego].[All]" dimensionUniqueName="[Dim_Productos]" displayFolder="" count="0" memberValueDatatype="130" unbalanced="0"/>
    <cacheHierarchy uniqueName="[Dim_Productos].[Categoria]" caption="Categoria" attribute="1" defaultMemberUniqueName="[Dim_Productos].[Categoria].[All]" allUniqueName="[Dim_Productos].[Categoria].[All]" dimensionUniqueName="[Dim_Productos]" displayFolder="" count="2" memberValueDatatype="130" unbalanced="0">
      <fieldsUsage count="2">
        <fieldUsage x="-1"/>
        <fieldUsage x="2"/>
      </fieldsUsage>
    </cacheHierarchy>
    <cacheHierarchy uniqueName="[Dim_Productos].[Plataforma]" caption="Plataforma" attribute="1" defaultMemberUniqueName="[Dim_Productos].[Plataforma].[All]" allUniqueName="[Dim_Productos].[Plataforma].[All]" dimensionUniqueName="[Dim_Productos]" displayFolder="" count="2" memberValueDatatype="130" unbalanced="0"/>
    <cacheHierarchy uniqueName="[Fact_Ventas].[ID_Venta]" caption="ID_Venta" attribute="1" defaultMemberUniqueName="[Fact_Ventas].[ID_Venta].[All]" allUniqueName="[Fact_Ventas].[ID_Venta].[All]" dimensionUniqueName="[Fact_Ventas]" displayFolder="" count="0" memberValueDatatype="130" unbalanced="0"/>
    <cacheHierarchy uniqueName="[Fact_Ventas].[Fecha]" caption="Fecha" attribute="1" time="1" defaultMemberUniqueName="[Fact_Ventas].[Fecha].[All]" allUniqueName="[Fact_Ventas].[Fecha].[All]" dimensionUniqueName="[Fact_Ventas]" displayFolder="" count="0" memberValueDatatype="7" unbalanced="0"/>
    <cacheHierarchy uniqueName="[Fact_Ventas].[ID_Cliente]" caption="ID_Cliente" attribute="1" defaultMemberUniqueName="[Fact_Ventas].[ID_Cliente].[All]" allUniqueName="[Fact_Ventas].[ID_Cliente].[All]" dimensionUniqueName="[Fact_Ventas]" displayFolder="" count="0" memberValueDatatype="130" unbalanced="0"/>
    <cacheHierarchy uniqueName="[Fact_Ventas].[Cliente]" caption="Cliente" attribute="1" defaultMemberUniqueName="[Fact_Ventas].[Cliente].[All]" allUniqueName="[Fact_Ventas].[Cliente].[All]" dimensionUniqueName="[Fact_Ventas]" displayFolder="" count="0" memberValueDatatype="130" unbalanced="0"/>
    <cacheHierarchy uniqueName="[Fact_Ventas].[Ciudad]" caption="Ciudad" attribute="1" defaultMemberUniqueName="[Fact_Ventas].[Ciudad].[All]" allUniqueName="[Fact_Ventas].[Ciudad].[All]" dimensionUniqueName="[Fact_Ventas]" displayFolder="" count="0" memberValueDatatype="130" unbalanced="0"/>
    <cacheHierarchy uniqueName="[Fact_Ventas].[ID_Juego]" caption="ID_Juego" attribute="1" defaultMemberUniqueName="[Fact_Ventas].[ID_Juego].[All]" allUniqueName="[Fact_Ventas].[ID_Juego].[All]" dimensionUniqueName="[Fact_Ventas]" displayFolder="" count="0" memberValueDatatype="130" unbalanced="0"/>
    <cacheHierarchy uniqueName="[Fact_Ventas].[Videojuego]" caption="Videojuego" attribute="1" defaultMemberUniqueName="[Fact_Ventas].[Videojuego].[All]" allUniqueName="[Fact_Ventas].[Videojuego].[All]" dimensionUniqueName="[Fact_Ventas]" displayFolder="" count="0" memberValueDatatype="130" unbalanced="0"/>
    <cacheHierarchy uniqueName="[Fact_Ventas].[Categoria]" caption="Categoria" attribute="1" defaultMemberUniqueName="[Fact_Ventas].[Categoria].[All]" allUniqueName="[Fact_Ventas].[Categoria].[All]" dimensionUniqueName="[Fact_Ventas]" displayFolder="" count="0" memberValueDatatype="130" unbalanced="0"/>
    <cacheHierarchy uniqueName="[Fact_Ventas].[Plataforma]" caption="Plataforma" attribute="1" defaultMemberUniqueName="[Fact_Ventas].[Plataforma].[All]" allUniqueName="[Fact_Ventas].[Plataforma].[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Total_Venta]" caption="Total_Venta" attribute="1" defaultMemberUniqueName="[Fact_Ventas].[Total_Venta].[All]" allUniqueName="[Fact_Ventas].[Total_Venta].[All]" dimensionUniqueName="[Fact_Ventas]" displayFolder="" count="0" memberValueDatatype="20" unbalanced="0"/>
    <cacheHierarchy uniqueName="[Measures].[Sum of Total_Venta]" caption="Sum of Total_Venta" measure="1" displayFolder="" measureGroup="Fact_Ventas" count="0" oneField="1">
      <fieldsUsage count="1">
        <fieldUsage x="1"/>
      </fieldsUsage>
    </cacheHierarchy>
    <cacheHierarchy uniqueName="[Measures].[Ticket Promedio]" caption="Ticket Promedio"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eo Guerrino" refreshedDate="46296.809244097225" backgroundQuery="1" createdVersion="3" refreshedVersion="8" minRefreshableVersion="3" recordCount="0" supportSubquery="1" supportAdvancedDrill="1" xr:uid="{5136F54E-7DB0-478E-B698-AF54D3D0FE17}">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20" unbalanced="0"/>
    <cacheHierarchy uniqueName="[Dim_Calendario].[Nombre del mes]" caption="Nombre del mes" attribute="1" defaultMemberUniqueName="[Dim_Calendario].[Nombre del mes].[All]" allUniqueName="[Dim_Calendario].[Nombre del mes].[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Clientes].[Cliente]" caption="Cliente" attribute="1" defaultMemberUniqueName="[Dim_Clientes].[Cliente].[All]" allUniqueName="[Dim_Clientes].[Cliente].[All]" dimensionUniqueName="[Dim_Clientes]" displayFolder="" count="0" memberValueDatatype="130" unbalanced="0"/>
    <cacheHierarchy uniqueName="[Dim_Clientes].[Ciudad]" caption="Ciudad" attribute="1" defaultMemberUniqueName="[Dim_Clientes].[Ciudad].[All]" allUniqueName="[Dim_Clientes].[Ciudad].[All]" dimensionUniqueName="[Dim_Clientes]" displayFolder="" count="2" memberValueDatatype="130" unbalanced="0"/>
    <cacheHierarchy uniqueName="[Dim_Productos].[ID_Juego]" caption="ID_Juego" attribute="1" defaultMemberUniqueName="[Dim_Productos].[ID_Juego].[All]" allUniqueName="[Dim_Productos].[ID_Juego].[All]" dimensionUniqueName="[Dim_Productos]" displayFolder="" count="0" memberValueDatatype="130" unbalanced="0"/>
    <cacheHierarchy uniqueName="[Dim_Productos].[Videojuego]" caption="Videojuego" attribute="1" defaultMemberUniqueName="[Dim_Productos].[Videojuego].[All]" allUniqueName="[Dim_Productos].[Videojuego].[All]" dimensionUniqueName="[Dim_Productos]" displayFolder="" count="0" memberValueDatatype="130" unbalanced="0"/>
    <cacheHierarchy uniqueName="[Dim_Productos].[Categoria]" caption="Categoria" attribute="1" defaultMemberUniqueName="[Dim_Productos].[Categoria].[All]" allUniqueName="[Dim_Productos].[Categoria].[All]" dimensionUniqueName="[Dim_Productos]" displayFolder="" count="2" memberValueDatatype="130" unbalanced="0"/>
    <cacheHierarchy uniqueName="[Dim_Productos].[Plataforma]" caption="Plataforma" attribute="1" defaultMemberUniqueName="[Dim_Productos].[Plataforma].[All]" allUniqueName="[Dim_Productos].[Plataforma].[All]" dimensionUniqueName="[Dim_Productos]" displayFolder="" count="2" memberValueDatatype="130" unbalanced="0"/>
    <cacheHierarchy uniqueName="[Fact_Ventas].[ID_Venta]" caption="ID_Venta" attribute="1" defaultMemberUniqueName="[Fact_Ventas].[ID_Venta].[All]" allUniqueName="[Fact_Ventas].[ID_Venta].[All]" dimensionUniqueName="[Fact_Ventas]" displayFolder="" count="0" memberValueDatatype="130" unbalanced="0"/>
    <cacheHierarchy uniqueName="[Fact_Ventas].[Fecha]" caption="Fecha" attribute="1" time="1" defaultMemberUniqueName="[Fact_Ventas].[Fecha].[All]" allUniqueName="[Fact_Ventas].[Fecha].[All]" dimensionUniqueName="[Fact_Ventas]" displayFolder="" count="0" memberValueDatatype="7" unbalanced="0"/>
    <cacheHierarchy uniqueName="[Fact_Ventas].[ID_Cliente]" caption="ID_Cliente" attribute="1" defaultMemberUniqueName="[Fact_Ventas].[ID_Cliente].[All]" allUniqueName="[Fact_Ventas].[ID_Cliente].[All]" dimensionUniqueName="[Fact_Ventas]" displayFolder="" count="0" memberValueDatatype="130" unbalanced="0"/>
    <cacheHierarchy uniqueName="[Fact_Ventas].[Cliente]" caption="Cliente" attribute="1" defaultMemberUniqueName="[Fact_Ventas].[Cliente].[All]" allUniqueName="[Fact_Ventas].[Cliente].[All]" dimensionUniqueName="[Fact_Ventas]" displayFolder="" count="0" memberValueDatatype="130" unbalanced="0"/>
    <cacheHierarchy uniqueName="[Fact_Ventas].[Ciudad]" caption="Ciudad" attribute="1" defaultMemberUniqueName="[Fact_Ventas].[Ciudad].[All]" allUniqueName="[Fact_Ventas].[Ciudad].[All]" dimensionUniqueName="[Fact_Ventas]" displayFolder="" count="0" memberValueDatatype="130" unbalanced="0"/>
    <cacheHierarchy uniqueName="[Fact_Ventas].[ID_Juego]" caption="ID_Juego" attribute="1" defaultMemberUniqueName="[Fact_Ventas].[ID_Juego].[All]" allUniqueName="[Fact_Ventas].[ID_Juego].[All]" dimensionUniqueName="[Fact_Ventas]" displayFolder="" count="0" memberValueDatatype="130" unbalanced="0"/>
    <cacheHierarchy uniqueName="[Fact_Ventas].[Videojuego]" caption="Videojuego" attribute="1" defaultMemberUniqueName="[Fact_Ventas].[Videojuego].[All]" allUniqueName="[Fact_Ventas].[Videojuego].[All]" dimensionUniqueName="[Fact_Ventas]" displayFolder="" count="0" memberValueDatatype="130" unbalanced="0"/>
    <cacheHierarchy uniqueName="[Fact_Ventas].[Categoria]" caption="Categoria" attribute="1" defaultMemberUniqueName="[Fact_Ventas].[Categoria].[All]" allUniqueName="[Fact_Ventas].[Categoria].[All]" dimensionUniqueName="[Fact_Ventas]" displayFolder="" count="0" memberValueDatatype="130" unbalanced="0"/>
    <cacheHierarchy uniqueName="[Fact_Ventas].[Plataforma]" caption="Plataforma" attribute="1" defaultMemberUniqueName="[Fact_Ventas].[Plataforma].[All]" allUniqueName="[Fact_Ventas].[Plataforma].[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Total_Venta]" caption="Total_Venta" attribute="1" defaultMemberUniqueName="[Fact_Ventas].[Total_Venta].[All]" allUniqueName="[Fact_Ventas].[Total_Venta].[All]" dimensionUniqueName="[Fact_Ventas]" displayFolder="" count="0" memberValueDatatype="20" unbalanced="0"/>
    <cacheHierarchy uniqueName="[Measures].[Sum of Total_Venta]" caption="Sum of Total_Venta" measure="1" displayFolder="" measureGroup="Fact_Ventas" count="0"/>
    <cacheHierarchy uniqueName="[Measures].[Ticket Promedio]" caption="Ticket Promedio"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140154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V-001"/>
    <d v="2026-08-01T00:00:00"/>
    <s v="J-008"/>
    <x v="0"/>
    <s v="Plataformas"/>
    <x v="0"/>
    <s v="C-005"/>
    <s v="Tomás"/>
    <x v="0"/>
    <n v="2"/>
    <n v="119998"/>
  </r>
  <r>
    <s v="V-002"/>
    <d v="2026-08-02T00:00:00"/>
    <s v="J-009"/>
    <x v="1"/>
    <s v="Carreras"/>
    <x v="1"/>
    <s v="C-006"/>
    <s v="Valentina"/>
    <x v="1"/>
    <n v="1"/>
    <n v="44999"/>
  </r>
  <r>
    <s v="V-003"/>
    <d v="2026-08-03T00:00:00"/>
    <s v="J-007"/>
    <x v="2"/>
    <s v="Aventura"/>
    <x v="2"/>
    <s v="C-001"/>
    <s v="Martín"/>
    <x v="0"/>
    <n v="1"/>
    <n v="49999"/>
  </r>
  <r>
    <s v="V-004"/>
    <d v="2026-08-04T00:00:00"/>
    <s v="J-008"/>
    <x v="0"/>
    <s v="Plataformas"/>
    <x v="0"/>
    <s v="C-005"/>
    <s v="Tomás"/>
    <x v="0"/>
    <n v="2"/>
    <n v="119998"/>
  </r>
  <r>
    <s v="V-005"/>
    <d v="2026-08-05T00:00:00"/>
    <s v="J-008"/>
    <x v="0"/>
    <s v="Plataformas"/>
    <x v="0"/>
    <s v="C-010"/>
    <s v="Agustina"/>
    <x v="2"/>
    <n v="1"/>
    <n v="59999"/>
  </r>
  <r>
    <s v="V-006"/>
    <d v="2026-08-06T00:00:00"/>
    <s v="J-009"/>
    <x v="1"/>
    <s v="Carreras"/>
    <x v="1"/>
    <s v="C-001"/>
    <s v="Martín"/>
    <x v="0"/>
    <n v="2"/>
    <n v="89998"/>
  </r>
  <r>
    <s v="V-007"/>
    <d v="2026-08-07T00:00:00"/>
    <s v="J-010"/>
    <x v="3"/>
    <s v="Simulación"/>
    <x v="3"/>
    <s v="C-003"/>
    <s v="Lucas"/>
    <x v="3"/>
    <n v="1"/>
    <n v="14999"/>
  </r>
  <r>
    <s v="V-008"/>
    <d v="2026-08-08T00:00:00"/>
    <s v="J-006"/>
    <x v="4"/>
    <s v="Acción"/>
    <x v="2"/>
    <s v="C-003"/>
    <s v="Lucas"/>
    <x v="3"/>
    <n v="1"/>
    <n v="39999"/>
  </r>
  <r>
    <s v="V-009"/>
    <d v="2026-08-09T00:00:00"/>
    <s v="J-004"/>
    <x v="5"/>
    <s v="Battle Royale"/>
    <x v="3"/>
    <s v="C-001"/>
    <s v="Martín"/>
    <x v="0"/>
    <n v="2"/>
    <n v="0"/>
  </r>
  <r>
    <s v="V-010"/>
    <d v="2026-08-10T00:00:00"/>
    <s v="J-004"/>
    <x v="5"/>
    <s v="Battle Royale"/>
    <x v="3"/>
    <s v="C-002"/>
    <s v="Sofía"/>
    <x v="4"/>
    <n v="2"/>
    <n v="0"/>
  </r>
  <r>
    <s v="V-011"/>
    <d v="2026-08-11T00:00:00"/>
    <s v="J-006"/>
    <x v="4"/>
    <s v="Acción"/>
    <x v="2"/>
    <s v="C-007"/>
    <s v="Nicolás"/>
    <x v="5"/>
    <n v="3"/>
    <n v="119997"/>
  </r>
  <r>
    <s v="V-012"/>
    <d v="2026-08-12T00:00:00"/>
    <s v="J-002"/>
    <x v="6"/>
    <s v="Deportes"/>
    <x v="2"/>
    <s v="C-001"/>
    <s v="Martín"/>
    <x v="0"/>
    <n v="1"/>
    <n v="69999"/>
  </r>
  <r>
    <s v="V-013"/>
    <d v="2026-08-13T00:00:00"/>
    <s v="J-009"/>
    <x v="1"/>
    <s v="Carreras"/>
    <x v="1"/>
    <s v="C-004"/>
    <s v="Camila"/>
    <x v="6"/>
    <n v="1"/>
    <n v="44999"/>
  </r>
  <r>
    <s v="V-014"/>
    <d v="2026-08-14T00:00:00"/>
    <s v="J-007"/>
    <x v="2"/>
    <s v="Aventura"/>
    <x v="2"/>
    <s v="C-008"/>
    <s v="Julieta"/>
    <x v="7"/>
    <n v="1"/>
    <n v="49999"/>
  </r>
  <r>
    <s v="V-015"/>
    <d v="2026-08-15T00:00:00"/>
    <s v="J-007"/>
    <x v="2"/>
    <s v="Aventura"/>
    <x v="2"/>
    <s v="C-003"/>
    <s v="Lucas"/>
    <x v="3"/>
    <n v="2"/>
    <n v="99998"/>
  </r>
  <r>
    <s v="V-016"/>
    <d v="2026-08-16T00:00:00"/>
    <s v="J-006"/>
    <x v="4"/>
    <s v="Acción"/>
    <x v="2"/>
    <s v="C-010"/>
    <s v="Agustina"/>
    <x v="2"/>
    <n v="2"/>
    <n v="79998"/>
  </r>
  <r>
    <s v="V-017"/>
    <d v="2026-08-17T00:00:00"/>
    <s v="J-003"/>
    <x v="7"/>
    <s v="Carreras"/>
    <x v="0"/>
    <s v="C-001"/>
    <s v="Martín"/>
    <x v="0"/>
    <n v="2"/>
    <n v="119998"/>
  </r>
  <r>
    <s v="V-018"/>
    <d v="2026-08-18T00:00:00"/>
    <s v="J-003"/>
    <x v="7"/>
    <s v="Carreras"/>
    <x v="0"/>
    <s v="C-009"/>
    <s v="Mateo"/>
    <x v="8"/>
    <n v="3"/>
    <n v="179997"/>
  </r>
  <r>
    <s v="V-019"/>
    <d v="2026-08-19T00:00:00"/>
    <s v="J-002"/>
    <x v="6"/>
    <s v="Deportes"/>
    <x v="2"/>
    <s v="C-007"/>
    <s v="Nicolás"/>
    <x v="5"/>
    <n v="2"/>
    <n v="139998"/>
  </r>
  <r>
    <s v="V-020"/>
    <d v="2026-08-20T00:00:00"/>
    <s v="J-007"/>
    <x v="2"/>
    <s v="Aventura"/>
    <x v="2"/>
    <s v="C-010"/>
    <s v="Agustina"/>
    <x v="2"/>
    <n v="1"/>
    <n v="49999"/>
  </r>
  <r>
    <s v="V-021"/>
    <d v="2026-08-21T00:00:00"/>
    <s v="J-008"/>
    <x v="0"/>
    <s v="Plataformas"/>
    <x v="0"/>
    <s v="C-010"/>
    <s v="Agustina"/>
    <x v="2"/>
    <n v="1"/>
    <n v="59999"/>
  </r>
  <r>
    <s v="V-022"/>
    <d v="2026-08-22T00:00:00"/>
    <s v="J-009"/>
    <x v="1"/>
    <s v="Carreras"/>
    <x v="1"/>
    <s v="C-001"/>
    <s v="Martín"/>
    <x v="0"/>
    <n v="2"/>
    <n v="89998"/>
  </r>
  <r>
    <s v="V-023"/>
    <d v="2026-08-23T00:00:00"/>
    <s v="J-002"/>
    <x v="6"/>
    <s v="Deportes"/>
    <x v="2"/>
    <s v="C-004"/>
    <s v="Camila"/>
    <x v="6"/>
    <n v="3"/>
    <n v="209997"/>
  </r>
  <r>
    <s v="V-024"/>
    <d v="2026-08-24T00:00:00"/>
    <s v="J-005"/>
    <x v="8"/>
    <s v="Simulación"/>
    <x v="3"/>
    <s v="C-006"/>
    <s v="Valentina"/>
    <x v="1"/>
    <n v="1"/>
    <n v="0"/>
  </r>
  <r>
    <s v="V-025"/>
    <d v="2026-08-25T00:00:00"/>
    <s v="J-007"/>
    <x v="2"/>
    <s v="Aventura"/>
    <x v="2"/>
    <s v="C-005"/>
    <s v="Tomás"/>
    <x v="0"/>
    <n v="1"/>
    <n v="49999"/>
  </r>
  <r>
    <s v="V-026"/>
    <d v="2026-08-26T00:00:00"/>
    <s v="J-005"/>
    <x v="8"/>
    <s v="Simulación"/>
    <x v="3"/>
    <s v="C-004"/>
    <s v="Camila"/>
    <x v="6"/>
    <n v="1"/>
    <n v="0"/>
  </r>
  <r>
    <s v="V-027"/>
    <d v="2026-08-27T00:00:00"/>
    <s v="J-006"/>
    <x v="4"/>
    <s v="Acción"/>
    <x v="2"/>
    <s v="C-006"/>
    <s v="Valentina"/>
    <x v="1"/>
    <n v="2"/>
    <n v="79998"/>
  </r>
  <r>
    <s v="V-028"/>
    <d v="2026-08-28T00:00:00"/>
    <s v="J-010"/>
    <x v="3"/>
    <s v="Simulación"/>
    <x v="3"/>
    <s v="C-009"/>
    <s v="Mateo"/>
    <x v="8"/>
    <n v="1"/>
    <n v="14999"/>
  </r>
  <r>
    <s v="V-029"/>
    <d v="2026-08-29T00:00:00"/>
    <s v="J-001"/>
    <x v="9"/>
    <s v="Sandbox"/>
    <x v="3"/>
    <s v="C-007"/>
    <s v="Nicolás"/>
    <x v="5"/>
    <n v="3"/>
    <n v="89997"/>
  </r>
  <r>
    <s v="V-030"/>
    <d v="2026-08-30T00:00:00"/>
    <s v="J-007"/>
    <x v="2"/>
    <s v="Aventura"/>
    <x v="2"/>
    <s v="C-001"/>
    <s v="Martín"/>
    <x v="0"/>
    <n v="2"/>
    <n v="99998"/>
  </r>
  <r>
    <s v="V-031"/>
    <d v="2026-08-31T00:00:00"/>
    <s v="J-001"/>
    <x v="9"/>
    <s v="Sandbox"/>
    <x v="3"/>
    <s v="C-004"/>
    <s v="Camila"/>
    <x v="6"/>
    <n v="2"/>
    <n v="59998"/>
  </r>
  <r>
    <s v="V-032"/>
    <d v="2026-08-01T00:00:00"/>
    <s v="J-007"/>
    <x v="2"/>
    <s v="Aventura"/>
    <x v="2"/>
    <s v="C-001"/>
    <s v="Martín"/>
    <x v="0"/>
    <n v="1"/>
    <n v="49999"/>
  </r>
  <r>
    <s v="V-033"/>
    <d v="2026-08-02T00:00:00"/>
    <s v="J-004"/>
    <x v="5"/>
    <s v="Battle Royale"/>
    <x v="3"/>
    <s v="C-010"/>
    <s v="Agustina"/>
    <x v="2"/>
    <n v="1"/>
    <n v="0"/>
  </r>
  <r>
    <s v="V-034"/>
    <d v="2026-08-03T00:00:00"/>
    <s v="J-009"/>
    <x v="1"/>
    <s v="Carreras"/>
    <x v="1"/>
    <s v="C-004"/>
    <s v="Camila"/>
    <x v="6"/>
    <n v="1"/>
    <n v="44999"/>
  </r>
  <r>
    <s v="V-035"/>
    <d v="2026-08-04T00:00:00"/>
    <s v="J-002"/>
    <x v="6"/>
    <s v="Deportes"/>
    <x v="2"/>
    <s v="C-005"/>
    <s v="Tomás"/>
    <x v="0"/>
    <n v="1"/>
    <n v="69999"/>
  </r>
  <r>
    <s v="V-036"/>
    <d v="2026-08-05T00:00:00"/>
    <s v="J-007"/>
    <x v="2"/>
    <s v="Aventura"/>
    <x v="2"/>
    <s v="C-005"/>
    <s v="Tomás"/>
    <x v="0"/>
    <n v="1"/>
    <n v="49999"/>
  </r>
  <r>
    <s v="V-037"/>
    <d v="2026-08-06T00:00:00"/>
    <s v="J-006"/>
    <x v="4"/>
    <s v="Acción"/>
    <x v="2"/>
    <s v="C-010"/>
    <s v="Agustina"/>
    <x v="2"/>
    <n v="2"/>
    <n v="79998"/>
  </r>
  <r>
    <s v="V-038"/>
    <d v="2026-08-07T00:00:00"/>
    <s v="J-001"/>
    <x v="9"/>
    <s v="Sandbox"/>
    <x v="3"/>
    <s v="C-009"/>
    <s v="Mateo"/>
    <x v="8"/>
    <n v="1"/>
    <n v="29999"/>
  </r>
  <r>
    <s v="V-039"/>
    <d v="2026-08-08T00:00:00"/>
    <s v="J-006"/>
    <x v="4"/>
    <s v="Acción"/>
    <x v="2"/>
    <s v="C-004"/>
    <s v="Camila"/>
    <x v="6"/>
    <n v="1"/>
    <n v="39999"/>
  </r>
  <r>
    <s v="V-040"/>
    <d v="2026-08-09T00:00:00"/>
    <s v="J-005"/>
    <x v="8"/>
    <s v="Simulación"/>
    <x v="3"/>
    <s v="C-008"/>
    <s v="Julieta"/>
    <x v="7"/>
    <n v="1"/>
    <n v="0"/>
  </r>
  <r>
    <s v="V-041"/>
    <d v="2026-08-10T00:00:00"/>
    <s v="J-008"/>
    <x v="0"/>
    <s v="Plataformas"/>
    <x v="0"/>
    <s v="C-004"/>
    <s v="Camila"/>
    <x v="6"/>
    <n v="1"/>
    <n v="59999"/>
  </r>
  <r>
    <s v="V-042"/>
    <d v="2026-08-11T00:00:00"/>
    <s v="J-008"/>
    <x v="0"/>
    <s v="Plataformas"/>
    <x v="0"/>
    <s v="C-009"/>
    <s v="Mateo"/>
    <x v="8"/>
    <n v="1"/>
    <n v="59999"/>
  </r>
  <r>
    <s v="V-043"/>
    <d v="2026-08-12T00:00:00"/>
    <s v="J-003"/>
    <x v="7"/>
    <s v="Carreras"/>
    <x v="0"/>
    <s v="C-004"/>
    <s v="Camila"/>
    <x v="6"/>
    <n v="3"/>
    <n v="179997"/>
  </r>
  <r>
    <s v="V-044"/>
    <d v="2026-08-13T00:00:00"/>
    <s v="J-004"/>
    <x v="5"/>
    <s v="Battle Royale"/>
    <x v="3"/>
    <s v="C-010"/>
    <s v="Agustina"/>
    <x v="2"/>
    <n v="1"/>
    <n v="0"/>
  </r>
  <r>
    <s v="V-045"/>
    <d v="2026-08-14T00:00:00"/>
    <s v="J-005"/>
    <x v="8"/>
    <s v="Simulación"/>
    <x v="3"/>
    <s v="C-006"/>
    <s v="Valentina"/>
    <x v="1"/>
    <n v="1"/>
    <n v="0"/>
  </r>
  <r>
    <s v="V-046"/>
    <d v="2026-08-15T00:00:00"/>
    <s v="J-004"/>
    <x v="5"/>
    <s v="Battle Royale"/>
    <x v="3"/>
    <s v="C-001"/>
    <s v="Martín"/>
    <x v="0"/>
    <n v="2"/>
    <n v="0"/>
  </r>
  <r>
    <s v="V-047"/>
    <d v="2026-08-16T00:00:00"/>
    <s v="J-001"/>
    <x v="9"/>
    <s v="Sandbox"/>
    <x v="3"/>
    <s v="C-004"/>
    <s v="Camila"/>
    <x v="6"/>
    <n v="2"/>
    <n v="59998"/>
  </r>
  <r>
    <s v="V-048"/>
    <d v="2026-08-17T00:00:00"/>
    <s v="J-002"/>
    <x v="6"/>
    <s v="Deportes"/>
    <x v="2"/>
    <s v="C-006"/>
    <s v="Valentina"/>
    <x v="1"/>
    <n v="2"/>
    <n v="139998"/>
  </r>
  <r>
    <s v="V-049"/>
    <d v="2026-08-18T00:00:00"/>
    <s v="J-009"/>
    <x v="1"/>
    <s v="Carreras"/>
    <x v="1"/>
    <s v="C-003"/>
    <s v="Lucas"/>
    <x v="3"/>
    <n v="1"/>
    <n v="44999"/>
  </r>
  <r>
    <s v="V-050"/>
    <d v="2026-08-19T00:00:00"/>
    <s v="J-006"/>
    <x v="4"/>
    <s v="Acción"/>
    <x v="2"/>
    <s v="C-005"/>
    <s v="Tomás"/>
    <x v="0"/>
    <n v="2"/>
    <n v="7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V-001"/>
    <d v="2026-08-01T00:00:00"/>
    <s v="C-001"/>
    <s v="Martín"/>
    <x v="0"/>
    <s v="J-001"/>
    <s v="Minecraft"/>
    <x v="0"/>
    <x v="0"/>
    <n v="1"/>
    <n v="29999"/>
    <n v="29999"/>
  </r>
  <r>
    <s v="V-002"/>
    <d v="2026-08-02T00:00:00"/>
    <s v="C-004"/>
    <s v="Camila"/>
    <x v="1"/>
    <s v="J-002"/>
    <s v="EA Sports FC 26"/>
    <x v="1"/>
    <x v="1"/>
    <n v="2"/>
    <n v="69999"/>
    <n v="139998"/>
  </r>
  <r>
    <s v="V-003"/>
    <d v="2026-08-03T00:00:00"/>
    <s v="C-007"/>
    <s v="Nicolás"/>
    <x v="2"/>
    <s v="J-003"/>
    <s v="Mario Kart 8 Deluxe"/>
    <x v="2"/>
    <x v="2"/>
    <n v="3"/>
    <n v="59999"/>
    <n v="179997"/>
  </r>
  <r>
    <s v="V-004"/>
    <d v="2026-08-04T00:00:00"/>
    <s v="C-010"/>
    <s v="Agustina"/>
    <x v="3"/>
    <s v="J-004"/>
    <s v="Fortnite"/>
    <x v="3"/>
    <x v="0"/>
    <n v="1"/>
    <n v="0"/>
    <n v="0"/>
  </r>
  <r>
    <s v="V-005"/>
    <d v="2026-08-05T00:00:00"/>
    <s v="C-003"/>
    <s v="Lucas"/>
    <x v="4"/>
    <s v="J-005"/>
    <s v="The Sims 4"/>
    <x v="4"/>
    <x v="0"/>
    <n v="2"/>
    <n v="0"/>
    <n v="0"/>
  </r>
  <r>
    <s v="V-006"/>
    <d v="2026-08-06T00:00:00"/>
    <s v="C-006"/>
    <s v="Valentina"/>
    <x v="5"/>
    <s v="J-006"/>
    <s v="Grand Theft Auto V"/>
    <x v="5"/>
    <x v="1"/>
    <n v="3"/>
    <n v="39999"/>
    <n v="119997"/>
  </r>
  <r>
    <s v="V-007"/>
    <d v="2026-08-07T00:00:00"/>
    <s v="C-009"/>
    <s v="Mateo"/>
    <x v="6"/>
    <s v="J-007"/>
    <s v="Hogwarts Legacy"/>
    <x v="6"/>
    <x v="1"/>
    <n v="1"/>
    <n v="49999"/>
    <n v="49999"/>
  </r>
  <r>
    <s v="V-008"/>
    <d v="2026-08-08T00:00:00"/>
    <s v="C-002"/>
    <s v="Sofía"/>
    <x v="7"/>
    <s v="J-008"/>
    <s v="Super Mario Bros. Wonder"/>
    <x v="7"/>
    <x v="2"/>
    <n v="2"/>
    <n v="59999"/>
    <n v="119998"/>
  </r>
  <r>
    <s v="V-009"/>
    <d v="2026-08-09T00:00:00"/>
    <s v="C-005"/>
    <s v="Tomás"/>
    <x v="0"/>
    <s v="J-009"/>
    <s v="Forza Horizon 5"/>
    <x v="2"/>
    <x v="3"/>
    <n v="3"/>
    <n v="44999"/>
    <n v="134997"/>
  </r>
  <r>
    <s v="V-010"/>
    <d v="2026-08-10T00:00:00"/>
    <s v="C-008"/>
    <s v="Julieta"/>
    <x v="8"/>
    <s v="J-010"/>
    <s v="Stardew Valley"/>
    <x v="4"/>
    <x v="0"/>
    <n v="1"/>
    <n v="14999"/>
    <n v="14999"/>
  </r>
  <r>
    <s v="V-011"/>
    <d v="2026-08-11T00:00:00"/>
    <s v="C-001"/>
    <s v="Martín"/>
    <x v="0"/>
    <s v="J-001"/>
    <s v="Minecraft"/>
    <x v="0"/>
    <x v="0"/>
    <n v="2"/>
    <n v="29999"/>
    <n v="59998"/>
  </r>
  <r>
    <s v="V-012"/>
    <d v="2026-08-12T00:00:00"/>
    <s v="C-004"/>
    <s v="Camila"/>
    <x v="1"/>
    <s v="J-002"/>
    <s v="EA Sports FC 26"/>
    <x v="1"/>
    <x v="1"/>
    <n v="3"/>
    <n v="69999"/>
    <n v="209997"/>
  </r>
  <r>
    <s v="V-013"/>
    <d v="2026-08-13T00:00:00"/>
    <s v="C-007"/>
    <s v="Nicolás"/>
    <x v="2"/>
    <s v="J-003"/>
    <s v="Mario Kart 8 Deluxe"/>
    <x v="2"/>
    <x v="2"/>
    <n v="1"/>
    <n v="59999"/>
    <n v="59999"/>
  </r>
  <r>
    <s v="V-014"/>
    <d v="2026-08-14T00:00:00"/>
    <s v="C-010"/>
    <s v="Agustina"/>
    <x v="3"/>
    <s v="J-004"/>
    <s v="Fortnite"/>
    <x v="3"/>
    <x v="0"/>
    <n v="2"/>
    <n v="0"/>
    <n v="0"/>
  </r>
  <r>
    <s v="V-015"/>
    <d v="2026-08-15T00:00:00"/>
    <s v="C-003"/>
    <s v="Lucas"/>
    <x v="4"/>
    <s v="J-005"/>
    <s v="The Sims 4"/>
    <x v="4"/>
    <x v="0"/>
    <n v="3"/>
    <n v="0"/>
    <n v="0"/>
  </r>
  <r>
    <s v="V-016"/>
    <d v="2026-08-16T00:00:00"/>
    <s v="C-006"/>
    <s v="Valentina"/>
    <x v="5"/>
    <s v="J-006"/>
    <s v="Grand Theft Auto V"/>
    <x v="5"/>
    <x v="1"/>
    <n v="1"/>
    <n v="39999"/>
    <n v="39999"/>
  </r>
  <r>
    <s v="V-018"/>
    <d v="2026-08-18T00:00:00"/>
    <s v="C-002"/>
    <s v="Sofía"/>
    <x v="7"/>
    <s v="J-008"/>
    <s v="Super Mario Bros. Wonder"/>
    <x v="7"/>
    <x v="2"/>
    <n v="3"/>
    <n v="59999"/>
    <n v="179997"/>
  </r>
  <r>
    <s v="V-019"/>
    <d v="2026-08-19T00:00:00"/>
    <s v="C-005"/>
    <s v="Tomás"/>
    <x v="0"/>
    <s v="J-009"/>
    <s v="Forza Horizon 5"/>
    <x v="2"/>
    <x v="3"/>
    <n v="1"/>
    <n v="44999"/>
    <n v="44999"/>
  </r>
  <r>
    <s v="V-020"/>
    <d v="2026-08-20T00:00:00"/>
    <s v="C-008"/>
    <s v="Julieta"/>
    <x v="8"/>
    <s v="J-010"/>
    <s v="Stardew Valley"/>
    <x v="4"/>
    <x v="0"/>
    <n v="2"/>
    <n v="14999"/>
    <n v="29998"/>
  </r>
  <r>
    <s v="V-021"/>
    <d v="2026-08-21T00:00:00"/>
    <s v="C-001"/>
    <s v="Martín"/>
    <x v="0"/>
    <s v="J-001"/>
    <s v="Minecraft"/>
    <x v="0"/>
    <x v="0"/>
    <n v="3"/>
    <n v="29999"/>
    <n v="89997"/>
  </r>
  <r>
    <s v="V-022"/>
    <d v="2026-08-22T00:00:00"/>
    <s v="C-004"/>
    <s v="Camila"/>
    <x v="1"/>
    <s v="J-002"/>
    <s v="EA Sports FC 26"/>
    <x v="1"/>
    <x v="1"/>
    <n v="1"/>
    <n v="69999"/>
    <n v="69999"/>
  </r>
  <r>
    <s v="V-023"/>
    <d v="2026-08-23T00:00:00"/>
    <s v="C-007"/>
    <s v="Nicolás"/>
    <x v="2"/>
    <s v="J-003"/>
    <s v="Mario Kart 8 Deluxe"/>
    <x v="2"/>
    <x v="2"/>
    <n v="2"/>
    <n v="59999"/>
    <n v="119998"/>
  </r>
  <r>
    <s v="V-024"/>
    <d v="2026-08-24T00:00:00"/>
    <s v="C-010"/>
    <s v="Agustina"/>
    <x v="3"/>
    <s v="J-004"/>
    <s v="Fortnite"/>
    <x v="3"/>
    <x v="0"/>
    <n v="3"/>
    <n v="0"/>
    <n v="0"/>
  </r>
  <r>
    <s v="V-025"/>
    <d v="2026-08-25T00:00:00"/>
    <s v="C-003"/>
    <s v="Lucas"/>
    <x v="4"/>
    <s v="J-005"/>
    <s v="The Sims 4"/>
    <x v="4"/>
    <x v="0"/>
    <n v="1"/>
    <n v="0"/>
    <n v="0"/>
  </r>
  <r>
    <s v="V-026"/>
    <d v="2026-08-26T00:00:00"/>
    <s v="C-006"/>
    <s v="Valentina"/>
    <x v="5"/>
    <s v="J-006"/>
    <s v="Grand Theft Auto V"/>
    <x v="5"/>
    <x v="1"/>
    <n v="2"/>
    <n v="39999"/>
    <n v="79998"/>
  </r>
  <r>
    <s v="V-027"/>
    <d v="2026-08-27T00:00:00"/>
    <s v="C-009"/>
    <s v="Mateo"/>
    <x v="6"/>
    <s v="J-007"/>
    <s v="Hogwarts Legacy"/>
    <x v="6"/>
    <x v="1"/>
    <n v="3"/>
    <n v="49999"/>
    <n v="149997"/>
  </r>
  <r>
    <s v="V-028"/>
    <d v="2026-08-28T00:00:00"/>
    <s v="C-002"/>
    <s v="Sofía"/>
    <x v="7"/>
    <s v="J-008"/>
    <s v="Super Mario Bros. Wonder"/>
    <x v="7"/>
    <x v="2"/>
    <n v="1"/>
    <n v="59999"/>
    <n v="59999"/>
  </r>
  <r>
    <s v="V-029"/>
    <d v="2026-08-29T00:00:00"/>
    <s v="C-005"/>
    <s v="Tomás"/>
    <x v="0"/>
    <s v="J-009"/>
    <s v="Forza Horizon 5"/>
    <x v="2"/>
    <x v="3"/>
    <n v="2"/>
    <n v="44999"/>
    <n v="89998"/>
  </r>
  <r>
    <s v="V-030"/>
    <d v="2026-08-30T00:00:00"/>
    <s v="C-008"/>
    <s v="Julieta"/>
    <x v="8"/>
    <s v="J-010"/>
    <s v="Stardew Valley"/>
    <x v="4"/>
    <x v="0"/>
    <n v="3"/>
    <n v="14999"/>
    <n v="44997"/>
  </r>
  <r>
    <s v="V-031"/>
    <d v="2026-08-31T00:00:00"/>
    <s v="C-001"/>
    <s v="Martín"/>
    <x v="0"/>
    <s v="J-001"/>
    <s v="Minecraft"/>
    <x v="0"/>
    <x v="0"/>
    <n v="1"/>
    <n v="29999"/>
    <n v="29999"/>
  </r>
  <r>
    <s v="V-032"/>
    <d v="2026-08-01T00:00:00"/>
    <s v="C-004"/>
    <s v="Camila"/>
    <x v="1"/>
    <s v="J-002"/>
    <s v="EA Sports FC 26"/>
    <x v="1"/>
    <x v="1"/>
    <n v="2"/>
    <n v="69999"/>
    <n v="139998"/>
  </r>
  <r>
    <s v="V-033"/>
    <d v="2026-08-02T00:00:00"/>
    <s v="C-007"/>
    <s v="Nicolás"/>
    <x v="2"/>
    <s v="J-003"/>
    <s v="Mario Kart 8 Deluxe"/>
    <x v="2"/>
    <x v="2"/>
    <n v="3"/>
    <n v="59999"/>
    <n v="179997"/>
  </r>
  <r>
    <s v="V-034"/>
    <d v="2026-08-03T00:00:00"/>
    <s v="C-010"/>
    <s v="Agustina"/>
    <x v="3"/>
    <s v="J-004"/>
    <s v="Fortnite"/>
    <x v="3"/>
    <x v="0"/>
    <n v="1"/>
    <n v="0"/>
    <n v="0"/>
  </r>
  <r>
    <s v="V-035"/>
    <d v="2026-08-04T00:00:00"/>
    <s v="C-003"/>
    <s v="Lucas"/>
    <x v="4"/>
    <s v="J-005"/>
    <s v="The Sims 4"/>
    <x v="4"/>
    <x v="0"/>
    <n v="2"/>
    <n v="0"/>
    <n v="0"/>
  </r>
  <r>
    <s v="V-036"/>
    <d v="2026-08-05T00:00:00"/>
    <s v="C-006"/>
    <s v="Valentina"/>
    <x v="5"/>
    <s v="J-006"/>
    <s v="Grand Theft Auto V"/>
    <x v="5"/>
    <x v="1"/>
    <n v="3"/>
    <n v="39999"/>
    <n v="119997"/>
  </r>
  <r>
    <s v="V-037"/>
    <d v="2026-08-06T00:00:00"/>
    <s v="C-009"/>
    <s v="Mateo"/>
    <x v="6"/>
    <s v="J-007"/>
    <s v="Hogwarts Legacy"/>
    <x v="6"/>
    <x v="1"/>
    <n v="1"/>
    <n v="49999"/>
    <n v="49999"/>
  </r>
  <r>
    <s v="V-038"/>
    <d v="2026-08-07T00:00:00"/>
    <s v="C-002"/>
    <s v="Sofía"/>
    <x v="7"/>
    <s v="J-008"/>
    <s v="Super Mario Bros. Wonder"/>
    <x v="7"/>
    <x v="2"/>
    <n v="2"/>
    <n v="59999"/>
    <n v="119998"/>
  </r>
  <r>
    <s v="V-040"/>
    <d v="2026-08-09T00:00:00"/>
    <s v="C-008"/>
    <s v="Julieta"/>
    <x v="8"/>
    <s v="J-010"/>
    <s v="Stardew Valley"/>
    <x v="4"/>
    <x v="0"/>
    <n v="1"/>
    <n v="14999"/>
    <n v="14999"/>
  </r>
  <r>
    <s v="V-041"/>
    <d v="2026-08-10T00:00:00"/>
    <s v="C-001"/>
    <s v="Martín"/>
    <x v="0"/>
    <s v="J-001"/>
    <s v="Minecraft"/>
    <x v="0"/>
    <x v="0"/>
    <n v="2"/>
    <n v="29999"/>
    <n v="59998"/>
  </r>
  <r>
    <s v="V-042"/>
    <d v="2026-08-11T00:00:00"/>
    <s v="C-004"/>
    <s v="Camila"/>
    <x v="1"/>
    <s v="J-002"/>
    <s v="EA Sports FC 26"/>
    <x v="1"/>
    <x v="1"/>
    <n v="3"/>
    <n v="69999"/>
    <n v="209997"/>
  </r>
  <r>
    <s v="V-043"/>
    <d v="2026-08-12T00:00:00"/>
    <s v="C-007"/>
    <s v="Nicolás"/>
    <x v="2"/>
    <s v="J-003"/>
    <s v="Mario Kart 8 Deluxe"/>
    <x v="2"/>
    <x v="2"/>
    <n v="1"/>
    <n v="59999"/>
    <n v="59999"/>
  </r>
  <r>
    <s v="V-044"/>
    <d v="2026-08-13T00:00:00"/>
    <s v="C-010"/>
    <s v="Agustina"/>
    <x v="3"/>
    <s v="J-004"/>
    <s v="Fortnite"/>
    <x v="3"/>
    <x v="0"/>
    <n v="2"/>
    <n v="0"/>
    <n v="0"/>
  </r>
  <r>
    <s v="V-045"/>
    <d v="2026-08-14T00:00:00"/>
    <s v="C-003"/>
    <s v="Lucas"/>
    <x v="4"/>
    <s v="J-005"/>
    <s v="The Sims 4"/>
    <x v="4"/>
    <x v="0"/>
    <n v="3"/>
    <n v="0"/>
    <n v="0"/>
  </r>
  <r>
    <s v="V-046"/>
    <d v="2026-08-15T00:00:00"/>
    <s v="C-006"/>
    <s v="Valentina"/>
    <x v="5"/>
    <s v="J-006"/>
    <s v="Grand Theft Auto V"/>
    <x v="5"/>
    <x v="1"/>
    <n v="1"/>
    <n v="39999"/>
    <n v="39999"/>
  </r>
  <r>
    <s v="V-047"/>
    <d v="2026-08-16T00:00:00"/>
    <s v="C-009"/>
    <s v="Mateo"/>
    <x v="6"/>
    <s v="J-007"/>
    <s v="Hogwarts Legacy"/>
    <x v="6"/>
    <x v="1"/>
    <n v="2"/>
    <n v="49999"/>
    <n v="99998"/>
  </r>
  <r>
    <s v="V-048"/>
    <d v="2026-08-17T00:00:00"/>
    <s v="C-002"/>
    <s v="Sofía"/>
    <x v="7"/>
    <s v="J-008"/>
    <s v="Super Mario Bros. Wonder"/>
    <x v="7"/>
    <x v="2"/>
    <n v="3"/>
    <n v="59999"/>
    <n v="179997"/>
  </r>
  <r>
    <s v="V-049"/>
    <d v="2026-08-18T00:00:00"/>
    <s v="C-005"/>
    <s v="Tomás"/>
    <x v="0"/>
    <s v="J-009"/>
    <s v="Forza Horizon 5"/>
    <x v="2"/>
    <x v="3"/>
    <n v="1"/>
    <n v="44999"/>
    <n v="44999"/>
  </r>
  <r>
    <s v="V-050"/>
    <d v="2026-08-19T00:00:00"/>
    <s v="C-008"/>
    <s v="Julieta"/>
    <x v="8"/>
    <s v="J-010"/>
    <s v="Stardew Valley"/>
    <x v="4"/>
    <x v="0"/>
    <n v="2"/>
    <n v="14999"/>
    <n v="2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E438D-32C5-48D3-8F9A-291F430C8D9A}" name="TablaDinámica3" cacheId="3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P42:Q5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os]"/>
        <x15:activeTabTopLevelEntity name="[Fact_Ventas]"/>
        <x15:activeTabTopLevelEntity name="[Dim_Clien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D54789-10E5-4A10-9BB3-13B00462998C}" name="TablaDinámica2" cacheId="4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P7:Q39"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io]"/>
        <x15:activeTabTopLevelEntity name="[Fact_Ventas]"/>
        <x15:activeTabTopLevelEntity name="[Dim_Productos]"/>
        <x15:activeTabTopLevelEntity name="[Dim_Clien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8346A1-CC8F-4C1F-9674-02579F3DF8B5}" name="TablaDinámica1" cacheId="3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2:Q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Vent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BFA5CB-6E1A-455B-B0B4-D2F771EAE2F8}" name="TablaDinámica6"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X20:Y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Vent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B6F634-0A69-4464-9942-4BBDB017354B}"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Facturación por Videojuego">
  <location ref="A3:B14" firstHeaderRow="1" firstDataRow="1" firstDataCol="1"/>
  <pivotFields count="11">
    <pivotField showAll="0"/>
    <pivotField numFmtId="14" showAll="0"/>
    <pivotField showAll="0"/>
    <pivotField axis="axisRow" showAll="0">
      <items count="11">
        <item x="6"/>
        <item x="5"/>
        <item x="1"/>
        <item x="4"/>
        <item x="2"/>
        <item x="7"/>
        <item x="9"/>
        <item x="3"/>
        <item x="0"/>
        <item x="8"/>
        <item t="default"/>
      </items>
    </pivotField>
    <pivotField showAll="0"/>
    <pivotField showAll="0">
      <items count="5">
        <item x="0"/>
        <item x="3"/>
        <item x="2"/>
        <item x="1"/>
        <item t="default"/>
      </items>
    </pivotField>
    <pivotField showAll="0"/>
    <pivotField showAll="0"/>
    <pivotField showAll="0">
      <items count="10">
        <item x="5"/>
        <item x="4"/>
        <item x="0"/>
        <item x="1"/>
        <item x="6"/>
        <item x="8"/>
        <item x="3"/>
        <item x="7"/>
        <item x="2"/>
        <item t="default"/>
      </items>
    </pivotField>
    <pivotField showAll="0"/>
    <pivotField dataField="1" showAll="0"/>
  </pivotFields>
  <rowFields count="1">
    <field x="3"/>
  </rowFields>
  <rowItems count="11">
    <i>
      <x/>
    </i>
    <i>
      <x v="1"/>
    </i>
    <i>
      <x v="2"/>
    </i>
    <i>
      <x v="3"/>
    </i>
    <i>
      <x v="4"/>
    </i>
    <i>
      <x v="5"/>
    </i>
    <i>
      <x v="6"/>
    </i>
    <i>
      <x v="7"/>
    </i>
    <i>
      <x v="8"/>
    </i>
    <i>
      <x v="9"/>
    </i>
    <i t="grand">
      <x/>
    </i>
  </rowItems>
  <colItems count="1">
    <i/>
  </colItems>
  <dataFields count="1">
    <dataField name="Suma de Total_Venta" fld="10" baseField="0" baseItem="0"/>
  </dataFields>
  <conditionalFormats count="1">
    <conditionalFormat priority="1">
      <pivotAreas count="1">
        <pivotArea type="data" collapsedLevelsAreSubtotals="1" fieldPosition="0">
          <references count="2">
            <reference field="4294967294" count="1" selected="0">
              <x v="0"/>
            </reference>
            <reference field="3" count="10">
              <x v="0"/>
              <x v="1"/>
              <x v="2"/>
              <x v="3"/>
              <x v="4"/>
              <x v="5"/>
              <x v="6"/>
              <x v="7"/>
              <x v="8"/>
              <x v="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E361E-24F8-4081-A766-2B13320E291A}"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Facturación por Ciudad">
  <location ref="G3:H13" firstHeaderRow="1" firstDataRow="1" firstDataCol="1"/>
  <pivotFields count="11">
    <pivotField showAll="0"/>
    <pivotField numFmtId="14" showAll="0"/>
    <pivotField showAll="0"/>
    <pivotField showAll="0"/>
    <pivotField showAll="0"/>
    <pivotField showAll="0">
      <items count="5">
        <item x="0"/>
        <item x="3"/>
        <item x="2"/>
        <item x="1"/>
        <item t="default"/>
      </items>
    </pivotField>
    <pivotField showAll="0"/>
    <pivotField showAll="0"/>
    <pivotField axis="axisRow" showAll="0">
      <items count="10">
        <item x="5"/>
        <item x="4"/>
        <item x="0"/>
        <item x="1"/>
        <item x="6"/>
        <item x="8"/>
        <item x="3"/>
        <item x="7"/>
        <item x="2"/>
        <item t="default"/>
      </items>
    </pivotField>
    <pivotField showAll="0"/>
    <pivotField dataField="1" showAll="0"/>
  </pivotFields>
  <rowFields count="1">
    <field x="8"/>
  </rowFields>
  <rowItems count="10">
    <i>
      <x/>
    </i>
    <i>
      <x v="1"/>
    </i>
    <i>
      <x v="2"/>
    </i>
    <i>
      <x v="3"/>
    </i>
    <i>
      <x v="4"/>
    </i>
    <i>
      <x v="5"/>
    </i>
    <i>
      <x v="6"/>
    </i>
    <i>
      <x v="7"/>
    </i>
    <i>
      <x v="8"/>
    </i>
    <i t="grand">
      <x/>
    </i>
  </rowItems>
  <colItems count="1">
    <i/>
  </colItems>
  <dataFields count="1">
    <dataField name="Suma de Total_Venta"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83B058-0D9D-474A-A3A8-6460F447734B}"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rowHeaderCaption="Facturación por Plataforma">
  <location ref="D3:E8" firstHeaderRow="1" firstDataRow="1" firstDataCol="1"/>
  <pivotFields count="11">
    <pivotField showAll="0"/>
    <pivotField numFmtId="14" showAll="0"/>
    <pivotField showAll="0"/>
    <pivotField showAll="0"/>
    <pivotField showAll="0"/>
    <pivotField axis="axisRow" showAll="0">
      <items count="5">
        <item x="0"/>
        <item x="3"/>
        <item x="2"/>
        <item x="1"/>
        <item t="default"/>
      </items>
    </pivotField>
    <pivotField showAll="0"/>
    <pivotField showAll="0"/>
    <pivotField showAll="0">
      <items count="10">
        <item x="5"/>
        <item x="4"/>
        <item x="0"/>
        <item x="1"/>
        <item x="6"/>
        <item x="8"/>
        <item x="3"/>
        <item x="7"/>
        <item x="2"/>
        <item t="default"/>
      </items>
    </pivotField>
    <pivotField showAll="0"/>
    <pivotField dataField="1" showAll="0"/>
  </pivotFields>
  <rowFields count="1">
    <field x="5"/>
  </rowFields>
  <rowItems count="5">
    <i>
      <x/>
    </i>
    <i>
      <x v="1"/>
    </i>
    <i>
      <x v="2"/>
    </i>
    <i>
      <x v="3"/>
    </i>
    <i t="grand">
      <x/>
    </i>
  </rowItems>
  <colItems count="1">
    <i/>
  </colItems>
  <dataFields count="1">
    <dataField name="Suma de Total_Venta"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4D21B2-AF7A-44E6-AAB4-1DC537518CBE}"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K14" firstHeaderRow="1" firstDataRow="3" firstDataCol="1"/>
  <pivotFields count="12">
    <pivotField showAll="0"/>
    <pivotField numFmtId="14" showAll="0"/>
    <pivotField showAll="0"/>
    <pivotField showAll="0"/>
    <pivotField showAll="0">
      <items count="10">
        <item x="2"/>
        <item x="7"/>
        <item x="0"/>
        <item x="5"/>
        <item x="1"/>
        <item x="6"/>
        <item x="4"/>
        <item x="8"/>
        <item x="3"/>
        <item t="default"/>
      </items>
    </pivotField>
    <pivotField showAll="0"/>
    <pivotField showAll="0"/>
    <pivotField axis="axisRow" showAll="0">
      <items count="9">
        <item x="5"/>
        <item x="6"/>
        <item x="3"/>
        <item x="2"/>
        <item x="1"/>
        <item x="7"/>
        <item x="0"/>
        <item x="4"/>
        <item t="default"/>
      </items>
    </pivotField>
    <pivotField axis="axisCol" showAll="0">
      <items count="5">
        <item x="2"/>
        <item x="0"/>
        <item x="1"/>
        <item x="3"/>
        <item t="default"/>
      </items>
    </pivotField>
    <pivotField showAll="0"/>
    <pivotField showAll="0"/>
    <pivotField dataField="1" showAll="0"/>
  </pivotFields>
  <rowFields count="1">
    <field x="7"/>
  </rowFields>
  <rowItems count="9">
    <i>
      <x/>
    </i>
    <i>
      <x v="1"/>
    </i>
    <i>
      <x v="2"/>
    </i>
    <i>
      <x v="3"/>
    </i>
    <i>
      <x v="4"/>
    </i>
    <i>
      <x v="5"/>
    </i>
    <i>
      <x v="6"/>
    </i>
    <i>
      <x v="7"/>
    </i>
    <i t="grand">
      <x/>
    </i>
  </rowItems>
  <colFields count="2">
    <field x="8"/>
    <field x="-2"/>
  </colFields>
  <colItems count="10">
    <i>
      <x/>
      <x/>
    </i>
    <i r="1" i="1">
      <x v="1"/>
    </i>
    <i>
      <x v="1"/>
      <x/>
    </i>
    <i r="1" i="1">
      <x v="1"/>
    </i>
    <i>
      <x v="2"/>
      <x/>
    </i>
    <i r="1" i="1">
      <x v="1"/>
    </i>
    <i>
      <x v="3"/>
      <x/>
    </i>
    <i r="1" i="1">
      <x v="1"/>
    </i>
    <i t="grand">
      <x/>
    </i>
    <i t="grand" i="1">
      <x/>
    </i>
  </colItems>
  <dataFields count="2">
    <dataField name="Suma de Total_Venta" fld="11" baseField="0" baseItem="0" numFmtId="167"/>
    <dataField name="Suma de Total_Venta2" fld="11" showDataAs="percentOfTotal" baseField="0" baseItem="0" numFmtId="10"/>
  </dataFields>
  <formats count="50">
    <format dxfId="33">
      <pivotArea type="all" dataOnly="0" outline="0" fieldPosition="0"/>
    </format>
    <format dxfId="32">
      <pivotArea outline="0" collapsedLevelsAreSubtotals="1" fieldPosition="0"/>
    </format>
    <format dxfId="31">
      <pivotArea type="origin" dataOnly="0" labelOnly="1" outline="0" fieldPosition="0"/>
    </format>
    <format dxfId="30">
      <pivotArea field="8" type="button" dataOnly="0" labelOnly="1" outline="0" axis="axisCol" fieldPosition="0"/>
    </format>
    <format dxfId="29">
      <pivotArea field="-2" type="button" dataOnly="0" labelOnly="1" outline="0" axis="axisCol" fieldPosition="1"/>
    </format>
    <format dxfId="28">
      <pivotArea type="topRight" dataOnly="0" labelOnly="1" outline="0" fieldPosition="0"/>
    </format>
    <format dxfId="27">
      <pivotArea field="7" type="button" dataOnly="0" labelOnly="1" outline="0" axis="axisRow" fieldPosition="0"/>
    </format>
    <format dxfId="26">
      <pivotArea dataOnly="0" labelOnly="1" fieldPosition="0">
        <references count="1">
          <reference field="7" count="0"/>
        </references>
      </pivotArea>
    </format>
    <format dxfId="25">
      <pivotArea dataOnly="0" labelOnly="1" grandRow="1" outline="0" fieldPosition="0"/>
    </format>
    <format dxfId="24">
      <pivotArea dataOnly="0" labelOnly="1" fieldPosition="0">
        <references count="1">
          <reference field="8" count="0"/>
        </references>
      </pivotArea>
    </format>
    <format dxfId="23">
      <pivotArea field="8" dataOnly="0" labelOnly="1" grandCol="1" outline="0" axis="axisCol" fieldPosition="0">
        <references count="1">
          <reference field="4294967294" count="1" selected="0">
            <x v="0"/>
          </reference>
        </references>
      </pivotArea>
    </format>
    <format dxfId="22">
      <pivotArea field="8" dataOnly="0" labelOnly="1" grandCol="1" outline="0" axis="axisCol" fieldPosition="0">
        <references count="1">
          <reference field="4294967294" count="1" selected="0">
            <x v="1"/>
          </reference>
        </references>
      </pivotArea>
    </format>
    <format dxfId="21">
      <pivotArea dataOnly="0" labelOnly="1" outline="0" fieldPosition="0">
        <references count="2">
          <reference field="4294967294" count="2">
            <x v="0"/>
            <x v="1"/>
          </reference>
          <reference field="8" count="1" selected="0">
            <x v="0"/>
          </reference>
        </references>
      </pivotArea>
    </format>
    <format dxfId="20">
      <pivotArea dataOnly="0" labelOnly="1" outline="0" fieldPosition="0">
        <references count="2">
          <reference field="4294967294" count="2">
            <x v="0"/>
            <x v="1"/>
          </reference>
          <reference field="8" count="1" selected="0">
            <x v="1"/>
          </reference>
        </references>
      </pivotArea>
    </format>
    <format dxfId="19">
      <pivotArea dataOnly="0" labelOnly="1" outline="0" fieldPosition="0">
        <references count="2">
          <reference field="4294967294" count="2">
            <x v="0"/>
            <x v="1"/>
          </reference>
          <reference field="8" count="1" selected="0">
            <x v="2"/>
          </reference>
        </references>
      </pivotArea>
    </format>
    <format dxfId="18">
      <pivotArea dataOnly="0" labelOnly="1" outline="0" fieldPosition="0">
        <references count="2">
          <reference field="4294967294" count="2">
            <x v="0"/>
            <x v="1"/>
          </reference>
          <reference field="8" count="1" selected="0">
            <x v="3"/>
          </reference>
        </references>
      </pivotArea>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8" type="button" dataOnly="0" labelOnly="1" outline="0" axis="axisCol" fieldPosition="0"/>
    </format>
    <format dxfId="13">
      <pivotArea field="-2" type="button" dataOnly="0" labelOnly="1" outline="0" axis="axisCol" fieldPosition="1"/>
    </format>
    <format dxfId="12">
      <pivotArea type="topRight" dataOnly="0" labelOnly="1" outline="0"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grandRow="1" outline="0" fieldPosition="0"/>
    </format>
    <format dxfId="8">
      <pivotArea dataOnly="0" labelOnly="1" fieldPosition="0">
        <references count="1">
          <reference field="8" count="0"/>
        </references>
      </pivotArea>
    </format>
    <format dxfId="7">
      <pivotArea field="8" dataOnly="0" labelOnly="1" grandCol="1" outline="0" axis="axisCol" fieldPosition="0">
        <references count="1">
          <reference field="4294967294" count="1" selected="0">
            <x v="0"/>
          </reference>
        </references>
      </pivotArea>
    </format>
    <format dxfId="6">
      <pivotArea field="8" dataOnly="0" labelOnly="1" grandCol="1" outline="0" axis="axisCol" fieldPosition="0">
        <references count="1">
          <reference field="4294967294" count="1" selected="0">
            <x v="1"/>
          </reference>
        </references>
      </pivotArea>
    </format>
    <format dxfId="5">
      <pivotArea dataOnly="0" labelOnly="1" outline="0" fieldPosition="0">
        <references count="2">
          <reference field="4294967294" count="2">
            <x v="0"/>
            <x v="1"/>
          </reference>
          <reference field="8" count="1" selected="0">
            <x v="0"/>
          </reference>
        </references>
      </pivotArea>
    </format>
    <format dxfId="4">
      <pivotArea dataOnly="0" labelOnly="1" outline="0" fieldPosition="0">
        <references count="2">
          <reference field="4294967294" count="2">
            <x v="0"/>
            <x v="1"/>
          </reference>
          <reference field="8" count="1" selected="0">
            <x v="1"/>
          </reference>
        </references>
      </pivotArea>
    </format>
    <format dxfId="3">
      <pivotArea dataOnly="0" labelOnly="1" outline="0" fieldPosition="0">
        <references count="2">
          <reference field="4294967294" count="2">
            <x v="0"/>
            <x v="1"/>
          </reference>
          <reference field="8" count="1" selected="0">
            <x v="2"/>
          </reference>
        </references>
      </pivotArea>
    </format>
    <format dxfId="2">
      <pivotArea dataOnly="0" labelOnly="1" outline="0" fieldPosition="0">
        <references count="2">
          <reference field="4294967294" count="2">
            <x v="0"/>
            <x v="1"/>
          </reference>
          <reference field="8" count="1" selected="0">
            <x v="3"/>
          </reference>
        </references>
      </pivotArea>
    </format>
    <format>
      <pivotArea type="all" dataOnly="0" outline="0" fieldPosition="0"/>
    </format>
    <format dxfId="1">
      <pivotArea outline="0" fieldPosition="0">
        <references count="1">
          <reference field="4294967294" count="1">
            <x v="0"/>
          </reference>
        </references>
      </pivotArea>
    </format>
    <format>
      <pivotArea type="all" dataOnly="0" outline="0" fieldPosition="0"/>
    </format>
    <format>
      <pivotArea outline="0" collapsedLevelsAreSubtotals="1" fieldPosition="0"/>
    </format>
    <format>
      <pivotArea type="origin" dataOnly="0" labelOnly="1" outline="0" fieldPosition="0"/>
    </format>
    <format>
      <pivotArea field="8" type="button" dataOnly="0" labelOnly="1" outline="0" axis="axisCol" fieldPosition="0"/>
    </format>
    <format>
      <pivotArea field="-2" type="button" dataOnly="0" labelOnly="1" outline="0" axis="axisCol" fieldPosition="1"/>
    </format>
    <format>
      <pivotArea type="topRight" dataOnly="0" labelOnly="1" outline="0" fieldPosition="0"/>
    </format>
    <format>
      <pivotArea field="7" type="button" dataOnly="0" labelOnly="1" outline="0" axis="axisRow" fieldPosition="0"/>
    </format>
    <format>
      <pivotArea dataOnly="0" labelOnly="1" fieldPosition="0">
        <references count="1">
          <reference field="7" count="0"/>
        </references>
      </pivotArea>
    </format>
    <format>
      <pivotArea dataOnly="0" labelOnly="1" grandRow="1" outline="0" fieldPosition="0"/>
    </format>
    <format>
      <pivotArea dataOnly="0" labelOnly="1" fieldPosition="0">
        <references count="1">
          <reference field="8" count="0"/>
        </references>
      </pivotArea>
    </format>
    <format>
      <pivotArea field="8" dataOnly="0" labelOnly="1" grandCol="1" outline="0" axis="axisCol" fieldPosition="0">
        <references count="1">
          <reference field="4294967294" count="1" selected="0">
            <x v="0"/>
          </reference>
        </references>
      </pivotArea>
    </format>
    <format>
      <pivotArea field="8" dataOnly="0" labelOnly="1" grandCol="1" outline="0" axis="axisCol" fieldPosition="0">
        <references count="1">
          <reference field="4294967294" count="1" selected="0">
            <x v="1"/>
          </reference>
        </references>
      </pivotArea>
    </format>
    <format>
      <pivotArea dataOnly="0" labelOnly="1" outline="0" fieldPosition="0">
        <references count="2">
          <reference field="4294967294" count="2">
            <x v="0"/>
            <x v="1"/>
          </reference>
          <reference field="8" count="1" selected="0">
            <x v="0"/>
          </reference>
        </references>
      </pivotArea>
    </format>
    <format>
      <pivotArea dataOnly="0" labelOnly="1" outline="0" fieldPosition="0">
        <references count="2">
          <reference field="4294967294" count="2">
            <x v="0"/>
            <x v="1"/>
          </reference>
          <reference field="8" count="1" selected="0">
            <x v="1"/>
          </reference>
        </references>
      </pivotArea>
    </format>
    <format>
      <pivotArea dataOnly="0" labelOnly="1" outline="0" fieldPosition="0">
        <references count="2">
          <reference field="4294967294" count="2">
            <x v="0"/>
            <x v="1"/>
          </reference>
          <reference field="8" count="1" selected="0">
            <x v="2"/>
          </reference>
        </references>
      </pivotArea>
    </format>
    <format>
      <pivotArea dataOnly="0" labelOnly="1" outline="0" fieldPosition="0">
        <references count="2">
          <reference field="4294967294" count="2">
            <x v="0"/>
            <x v="1"/>
          </reference>
          <reference field="8"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lataforma" xr10:uid="{55DABDFD-8E99-490B-B92C-33AB401E406B}" sourceName="Plataforma">
  <pivotTables>
    <pivotTable tabId="15" name="TablaDinámica1"/>
    <pivotTable tabId="15" name="TablaDinámica2"/>
    <pivotTable tabId="15" name="TablaDinámica3"/>
  </pivotTables>
  <data>
    <tabular pivotCacheId="1802233362">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D4FC5AB-31D8-499A-9045-2FB4EF0C7D79}" sourceName="Ciudad">
  <pivotTables>
    <pivotTable tabId="15" name="TablaDinámica1"/>
    <pivotTable tabId="15" name="TablaDinámica2"/>
    <pivotTable tabId="15" name="TablaDinámica3"/>
  </pivotTables>
  <data>
    <tabular pivotCacheId="1802233362">
      <items count="9">
        <i x="5" s="1"/>
        <i x="4" s="1"/>
        <i x="0" s="1"/>
        <i x="1" s="1"/>
        <i x="6" s="1"/>
        <i x="8" s="1"/>
        <i x="3" s="1"/>
        <i x="7"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1" xr10:uid="{F49E1DDF-1C37-4EA2-985E-198B6CB7E810}" sourceName="Ciudad">
  <pivotTables>
    <pivotTable tabId="22" name="TablaDinámica1"/>
  </pivotTables>
  <data>
    <tabular pivotCacheId="1678032410">
      <items count="9">
        <i x="2" s="1"/>
        <i x="7" s="1"/>
        <i x="0" s="1"/>
        <i x="5" s="1"/>
        <i x="1" s="1"/>
        <i x="6" s="1"/>
        <i x="4" s="1"/>
        <i x="8"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 xr10:uid="{DB1F8612-06E8-4C58-BA30-C9CF671CC1DC}" sourceName="Categoria">
  <pivotTables>
    <pivotTable tabId="22" name="TablaDinámica1"/>
  </pivotTables>
  <data>
    <tabular pivotCacheId="1678032410">
      <items count="8">
        <i x="5" s="1"/>
        <i x="6" s="1"/>
        <i x="3" s="1"/>
        <i x="2" s="1"/>
        <i x="1" s="1"/>
        <i x="7"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1" xr10:uid="{78FF49DC-5BBA-4FEE-9CF7-D8056C792A40}" sourceName="[Dim_Productos].[Categoria]">
  <pivotTables>
    <pivotTable tabId="26" name="TablaDinámica3"/>
    <pivotTable tabId="26" name="TablaDinámica1"/>
    <pivotTable tabId="26" name="TablaDinámica2"/>
  </pivotTables>
  <data>
    <olap pivotCacheId="671401547">
      <levels count="2">
        <level uniqueName="[Dim_Productos].[Categoria].[(All)]" sourceCaption="(All)" count="0"/>
        <level uniqueName="[Dim_Productos].[Categoria].[Categoria]" sourceCaption="Categoria" count="8">
          <ranges>
            <range startItem="0">
              <i n="[Dim_Productos].[Categoria].&amp;[Acción]" c="Acción"/>
              <i n="[Dim_Productos].[Categoria].&amp;[Aventura]" c="Aventura"/>
              <i n="[Dim_Productos].[Categoria].&amp;[Battle Royale]" c="Battle Royale"/>
              <i n="[Dim_Productos].[Categoria].&amp;[Carreras]" c="Carreras"/>
              <i n="[Dim_Productos].[Categoria].&amp;[Deportes]" c="Deportes"/>
              <i n="[Dim_Productos].[Categoria].&amp;[Plataformas]" c="Plataformas"/>
              <i n="[Dim_Productos].[Categoria].&amp;[Sandbox]" c="Sandbox"/>
              <i n="[Dim_Productos].[Categoria].&amp;[Simulación]" c="Simulación"/>
            </range>
          </ranges>
        </level>
      </levels>
      <selections count="1">
        <selection n="[Dim_Productos].[Categoria].[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lataforma1" xr10:uid="{7E5820CA-2FBD-4B19-A7BC-1E326B81F11D}" sourceName="[Dim_Productos].[Plataforma]">
  <pivotTables>
    <pivotTable tabId="26" name="TablaDinámica3"/>
    <pivotTable tabId="26" name="TablaDinámica1"/>
    <pivotTable tabId="26" name="TablaDinámica2"/>
  </pivotTables>
  <data>
    <olap pivotCacheId="671401547">
      <levels count="2">
        <level uniqueName="[Dim_Productos].[Plataforma].[(All)]" sourceCaption="(All)" count="0"/>
        <level uniqueName="[Dim_Productos].[Plataforma].[Plataforma]" sourceCaption="Plataforma" count="4">
          <ranges>
            <range startItem="0">
              <i n="[Dim_Productos].[Plataforma].&amp;[Nintendo Switch]" c="Nintendo Switch"/>
              <i n="[Dim_Productos].[Plataforma].&amp;[PC]" c="PC"/>
              <i n="[Dim_Productos].[Plataforma].&amp;[PS5]" c="PS5"/>
              <i n="[Dim_Productos].[Plataforma].&amp;[Xbox]" c="Xbox"/>
            </range>
          </ranges>
        </level>
      </levels>
      <selections count="1">
        <selection n="[Dim_Productos].[Plataforma].[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2" xr10:uid="{77AEA030-6903-4F07-8595-1A56F8BDE496}" sourceName="[Dim_Clientes].[Ciudad]">
  <pivotTables>
    <pivotTable tabId="26" name="TablaDinámica3"/>
    <pivotTable tabId="26" name="TablaDinámica1"/>
    <pivotTable tabId="26" name="TablaDinámica2"/>
  </pivotTables>
  <data>
    <olap pivotCacheId="671401547">
      <levels count="2">
        <level uniqueName="[Dim_Clientes].[Ciudad].[(All)]" sourceCaption="(All)" count="0"/>
        <level uniqueName="[Dim_Clientes].[Ciudad].[Ciudad]" sourceCaption="Ciudad" count="9">
          <ranges>
            <range startItem="0">
              <i n="[Dim_Clientes].[Ciudad].&amp;[Buenos Aires]" c="Buenos Aires"/>
              <i n="[Dim_Clientes].[Ciudad].&amp;[Córdoba]" c="Córdoba"/>
              <i n="[Dim_Clientes].[Ciudad].&amp;[La Plata]" c="La Plata"/>
              <i n="[Dim_Clientes].[Ciudad].&amp;[Mar Del Plata]" c="Mar Del Plata"/>
              <i n="[Dim_Clientes].[Ciudad].&amp;[Mendoza]" c="Mendoza"/>
              <i n="[Dim_Clientes].[Ciudad].&amp;[Neuquén]" c="Neuquén"/>
              <i n="[Dim_Clientes].[Ciudad].&amp;[Rosario]" c="Rosario"/>
              <i n="[Dim_Clientes].[Ciudad].&amp;[Santa Fe]" c="Santa Fe"/>
              <i n="[Dim_Clientes].[Ciudad].&amp;[Tucumán]" c="Tucumán"/>
            </range>
          </ranges>
        </level>
      </levels>
      <selections count="1">
        <selection n="[Dim_Clientes].[Ciuda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1" xr10:uid="{68698632-222C-45D0-8E11-AA7F00456318}" cache="SegmentaciónDeDatos_Categoria1" caption="Categoria" level="1" rowHeight="234950"/>
  <slicer name="Plataforma 1" xr10:uid="{3940FEC7-0227-4FCB-8649-D4464F9DF665}" cache="SegmentaciónDeDatos_Plataforma1" caption="Plataforma" level="1" rowHeight="234950"/>
  <slicer name="Ciudad 2" xr10:uid="{7C5C26C9-1A8A-4720-A7A7-A9ECEBA110C3}" cache="SegmentaciónDeDatos_Ciudad2" caption="Ciuda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aforma" xr10:uid="{8AF859E1-B1F9-43C9-9CC3-10AF3E5E3021}" cache="SegmentaciónDeDatos_Plataforma" caption="Plataforma" rowHeight="234950"/>
  <slicer name="Ciudad" xr10:uid="{43186EEE-9C43-4A07-85F0-EC06FA38E560}" cache="SegmentaciónDeDatos_Ciudad" caption="Ciuda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1" xr10:uid="{213D4BC3-7A88-4336-9E1A-BE677C5D9D14}" cache="SegmentaciónDeDatos_Ciudad1" caption="Ciudad" rowHeight="234950"/>
  <slicer name="Categoria" xr10:uid="{2634896A-34FF-4F9B-8D47-55BD608EBCB9}" cache="SegmentaciónDeDatos_Categoria" caption="Categoria"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entas" displayName="Tbl_Ventas" ref="A1:F51" totalsRowShown="0">
  <autoFilter ref="A1:F51" xr:uid="{00000000-0009-0000-0100-000001000000}"/>
  <tableColumns count="6">
    <tableColumn id="1" xr3:uid="{00000000-0010-0000-0000-000001000000}" name="ID_Venta"/>
    <tableColumn id="2" xr3:uid="{00000000-0010-0000-0000-000002000000}" name="Fecha"/>
    <tableColumn id="3" xr3:uid="{00000000-0010-0000-0000-000003000000}" name="ID_Juego"/>
    <tableColumn id="4" xr3:uid="{00000000-0010-0000-0000-000004000000}" name="ID_Cliente"/>
    <tableColumn id="5" xr3:uid="{00000000-0010-0000-0000-000005000000}" name="Cantidad"/>
    <tableColumn id="6" xr3:uid="{00000000-0010-0000-0000-000006000000}" name="Total_Vent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bl_Calculos" displayName="Tbl_Calculos" ref="A1:E51" totalsRowShown="0">
  <autoFilter ref="A1:E51" xr:uid="{00000000-0009-0000-0100-000004000000}"/>
  <tableColumns count="5">
    <tableColumn id="1" xr3:uid="{00000000-0010-0000-0100-000001000000}" name="ID_Venta"/>
    <tableColumn id="2" xr3:uid="{00000000-0010-0000-0100-000002000000}" name="ID_Juego"/>
    <tableColumn id="3" xr3:uid="{00000000-0010-0000-0100-000003000000}" name="Cantidad"/>
    <tableColumn id="4" xr3:uid="{00000000-0010-0000-0100-000004000000}" name="Total_Venta"/>
    <tableColumn id="5" xr3:uid="{00000000-0010-0000-0100-000005000000}" name="Clasificac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bl_Prevision" displayName="Tbl_Prevision" ref="A4:E38" totalsRowShown="0">
  <autoFilter ref="A4:E38" xr:uid="{00000000-0009-0000-0100-000005000000}"/>
  <tableColumns count="5">
    <tableColumn id="1" xr3:uid="{00000000-0010-0000-0200-000001000000}" name="Periodo"/>
    <tableColumn id="2" xr3:uid="{00000000-0010-0000-0200-000002000000}" name="Valor_Historico"/>
    <tableColumn id="3" xr3:uid="{00000000-0010-0000-0200-000003000000}" name="Valor_Proyectado"/>
    <tableColumn id="4" xr3:uid="{00000000-0010-0000-0200-000004000000}" name="Limite_Inferior"/>
    <tableColumn id="5" xr3:uid="{00000000-0010-0000-0200-000005000000}" name="Limite_Superi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bl_Juegos" displayName="Tbl_Juegos" ref="A1:E11" totalsRowShown="0">
  <autoFilter ref="A1:E11" xr:uid="{00000000-0009-0000-0100-000002000000}"/>
  <tableColumns count="5">
    <tableColumn id="1" xr3:uid="{00000000-0010-0000-0300-000001000000}" name="ID_Juego"/>
    <tableColumn id="2" xr3:uid="{00000000-0010-0000-0300-000002000000}" name="Videojuego"/>
    <tableColumn id="3" xr3:uid="{00000000-0010-0000-0300-000003000000}" name="Genero"/>
    <tableColumn id="4" xr3:uid="{00000000-0010-0000-0300-000004000000}" name="Plataforma"/>
    <tableColumn id="5" xr3:uid="{00000000-0010-0000-0300-000005000000}" name="Precio_Unitari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bl_Clientes" displayName="Tbl_Clientes" ref="A1:C11" totalsRowShown="0">
  <autoFilter ref="A1:C11" xr:uid="{00000000-0009-0000-0100-000003000000}"/>
  <tableColumns count="3">
    <tableColumn id="1" xr3:uid="{00000000-0010-0000-0400-000001000000}" name="ID_Cliente"/>
    <tableColumn id="2" xr3:uid="{00000000-0010-0000-0400-000002000000}" name="Nombre"/>
    <tableColumn id="3" xr3:uid="{00000000-0010-0000-0400-000003000000}" name="Ciuda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MatrizPrecios" displayName="Tbl_MatrizPrecios" ref="A2:F6" totalsRowShown="0">
  <autoFilter ref="A2:F6" xr:uid="{00000000-0009-0000-0100-000006000000}"/>
  <tableColumns count="6">
    <tableColumn id="1" xr3:uid="{00000000-0010-0000-0500-000001000000}" name="Plataforma"/>
    <tableColumn id="2" xr3:uid="{00000000-0010-0000-0500-000002000000}" name="Minecraft"/>
    <tableColumn id="3" xr3:uid="{00000000-0010-0000-0500-000003000000}" name="EA Sports FC 26"/>
    <tableColumn id="4" xr3:uid="{00000000-0010-0000-0500-000004000000}" name="GTA V"/>
    <tableColumn id="5" xr3:uid="{00000000-0010-0000-0500-000005000000}" name="Hogwarts Legacy"/>
    <tableColumn id="6" xr3:uid="{00000000-0010-0000-0500-000006000000}" name="Stardew Valle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Vencimientos" displayName="Tbl_Vencimientos" ref="A3:D9" totalsRowShown="0">
  <autoFilter ref="A3:D9" xr:uid="{00000000-0009-0000-0100-000007000000}"/>
  <sortState xmlns:xlrd2="http://schemas.microsoft.com/office/spreadsheetml/2017/richdata2" ref="A4:D9">
    <sortCondition ref="C3:C9"/>
  </sortState>
  <tableColumns count="4">
    <tableColumn id="1" xr3:uid="{00000000-0010-0000-0600-000001000000}" name="ID Venta"/>
    <tableColumn id="2" xr3:uid="{00000000-0010-0000-0600-000002000000}" name="Fecha de venta"/>
    <tableColumn id="3" xr3:uid="{00000000-0010-0000-0600-000003000000}" name="Plazo (días hábiles)"/>
    <tableColumn id="4" xr3:uid="{00000000-0010-0000-0600-000004000000}" name="Vencimiento proyectad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Feriados" displayName="Tbl_Feriados" ref="F3:F8" totalsRowShown="0">
  <autoFilter ref="F3:F8" xr:uid="{00000000-0009-0000-0100-000008000000}"/>
  <tableColumns count="1">
    <tableColumn id="1" xr3:uid="{00000000-0010-0000-0700-000001000000}" name="Feriados personalizado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AuditoriaVentas" displayName="Tbl_AuditoriaVentas" ref="A3:D7" totalsRowShown="0">
  <autoFilter ref="A3:D7" xr:uid="{00000000-0009-0000-0100-000009000000}"/>
  <tableColumns count="4">
    <tableColumn id="1" xr3:uid="{00000000-0010-0000-0800-000001000000}" name="Venta"/>
    <tableColumn id="2" xr3:uid="{00000000-0010-0000-0800-000002000000}" name="Cantidad"/>
    <tableColumn id="3" xr3:uid="{00000000-0010-0000-0800-000003000000}" name="Total venta"/>
    <tableColumn id="4" xr3:uid="{00000000-0010-0000-0800-000004000000}" name="Observació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AuditoriaControl" displayName="Tbl_AuditoriaControl" ref="A9:D12" totalsRowShown="0">
  <autoFilter ref="A9:D12" xr:uid="{00000000-0009-0000-0100-00000A000000}"/>
  <tableColumns count="4">
    <tableColumn id="1" xr3:uid="{00000000-0010-0000-0900-000001000000}" name="Control"/>
    <tableColumn id="2" xr3:uid="{00000000-0010-0000-0900-000002000000}" name="Resultado"/>
    <tableColumn id="3" xr3:uid="{00000000-0010-0000-0900-000003000000}" name="Qué ocurre"/>
    <tableColumn id="4" xr3:uid="{00000000-0010-0000-0900-000004000000}" name="Correcció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8F9E7F4-DF46-45CE-98FF-80E5A644046F}" name="Tbl_BaseMotor" displayName="Tbl_BaseMotor" ref="A1:K51" totalsRowShown="0">
  <autoFilter ref="A1:K51" xr:uid="{98F9E7F4-DF46-45CE-98FF-80E5A644046F}"/>
  <tableColumns count="11">
    <tableColumn id="1" xr3:uid="{C94196B0-9856-48A0-B3FE-749B9EAF147B}" name="ID_Venta">
      <calculatedColumnFormula>Dataset_Principal!A2</calculatedColumnFormula>
    </tableColumn>
    <tableColumn id="2" xr3:uid="{5503E928-8478-4A38-ABA5-1A4291930F8C}" name="Fecha" dataDxfId="37">
      <calculatedColumnFormula>Dataset_Principal!B2</calculatedColumnFormula>
    </tableColumn>
    <tableColumn id="3" xr3:uid="{0FE9D1D2-D764-4023-BF77-E24E76E0469E}" name="ID_Juego">
      <calculatedColumnFormula>Dataset_Principal!C2</calculatedColumnFormula>
    </tableColumn>
    <tableColumn id="4" xr3:uid="{2A297ED1-EF13-4DCF-ABBD-DD0C8A830556}" name="Videojuego">
      <calculatedColumnFormula>_xlfn.XLOOKUP(C2,Cat_Juegos!$A$2:$A$11,Cat_Juegos!$B$2:$B$11,"No encontrado")</calculatedColumnFormula>
    </tableColumn>
    <tableColumn id="5" xr3:uid="{9FCA867D-4299-4347-BF02-E225B5C41537}" name="Genero">
      <calculatedColumnFormula>_xlfn.XLOOKUP(C2,Cat_Juegos!$A$2:$A$11,Cat_Juegos!$C$2:$C$11,"No encontrado")</calculatedColumnFormula>
    </tableColumn>
    <tableColumn id="6" xr3:uid="{61C2CFC8-42E9-498B-A5F0-A1DA2E2D4782}" name="Plataforma">
      <calculatedColumnFormula>_xlfn.XLOOKUP(C2,Cat_Juegos!$A$2:$A$11,Cat_Juegos!$D$2:$D$11,"No encontrado")</calculatedColumnFormula>
    </tableColumn>
    <tableColumn id="7" xr3:uid="{FA8B873A-11E1-4DEC-A391-B723643ABCBC}" name="ID_Cliente">
      <calculatedColumnFormula>Dataset_Principal!D2</calculatedColumnFormula>
    </tableColumn>
    <tableColumn id="8" xr3:uid="{647B9BCD-2AEE-49F6-9F27-B12E4B4B1C76}" name="Cliente">
      <calculatedColumnFormula>_xlfn.XLOOKUP(G2,Cat_Clientes!$A$2:$A$11,Cat_Clientes!$B$2:$B$11,"No encontrado")</calculatedColumnFormula>
    </tableColumn>
    <tableColumn id="9" xr3:uid="{A566A2A4-A4B1-4426-BC9B-22AFA99FDDE4}" name="Ciudad">
      <calculatedColumnFormula>_xlfn.XLOOKUP(G2,Cat_Clientes!$A$2:$A$11,Cat_Clientes!$C$2:$C$11,"No encontrado")</calculatedColumnFormula>
    </tableColumn>
    <tableColumn id="10" xr3:uid="{7B8EBB46-E70D-466E-AFE3-4421978B0080}" name="Cantidad">
      <calculatedColumnFormula>Dataset_Principal!E2</calculatedColumnFormula>
    </tableColumn>
    <tableColumn id="11" xr3:uid="{724CD0AD-FAE8-4930-8EA2-F1B6F54DDDAA}" name="Total_Venta">
      <calculatedColumnFormula>Dataset_Principal!F2</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04CAF96-0173-48FE-B221-13A84EA14620}" name="Tabla14" displayName="Tabla14" ref="A3:K7" totalsRowShown="0">
  <autoFilter ref="A3:K7" xr:uid="{604CAF96-0173-48FE-B221-13A84EA14620}"/>
  <tableColumns count="11">
    <tableColumn id="1" xr3:uid="{4C4D4DF9-EE64-44C8-97AC-B87DA1431F98}" name="ID_Venta"/>
    <tableColumn id="2" xr3:uid="{3273F426-4ECF-466E-80A7-3F209875239D}" name="Fecha" dataDxfId="36"/>
    <tableColumn id="3" xr3:uid="{509D0870-6174-482E-BC54-316938D0AC0B}" name="ID_Juego"/>
    <tableColumn id="4" xr3:uid="{D4A24405-F6A0-4F73-9507-C135ABA9ECE8}" name="Videojuego"/>
    <tableColumn id="5" xr3:uid="{A0AABFAE-2E96-4780-BEA5-8CD698D32D8D}" name="Genero"/>
    <tableColumn id="6" xr3:uid="{3FAD4D39-5BCF-4131-BA72-FE08FFED1B47}" name="Plataforma"/>
    <tableColumn id="7" xr3:uid="{22790238-DD8F-4D94-8576-AC81F66E49E9}" name="ID_Cliente"/>
    <tableColumn id="8" xr3:uid="{91C74291-83B5-4037-915C-C5C86386D7EB}" name="Cliente"/>
    <tableColumn id="9" xr3:uid="{6E0886CA-DEE2-43AD-9B32-B6A8F73CD57C}" name="Ciudad"/>
    <tableColumn id="10" xr3:uid="{746D0957-79FB-4EEF-92C7-B2C47C38B220}" name="Cantidad"/>
    <tableColumn id="11" xr3:uid="{E4142AF6-4DA5-4D43-ACE4-C4EFF84C7820}" name="Total_Venta"/>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B5D88F7-8718-4123-8EC3-FFDF04FF2AD4}" name="Tbl_Clientes2" displayName="Tbl_Clientes2" ref="A1:C11" totalsRowShown="0">
  <autoFilter ref="A1:C11" xr:uid="{0B5D88F7-8718-4123-8EC3-FFDF04FF2AD4}"/>
  <tableColumns count="3">
    <tableColumn id="1" xr3:uid="{1337A305-6F16-471D-8358-FC8EE055250A}" name="ID_Cliente"/>
    <tableColumn id="2" xr3:uid="{A2E1D6DE-9D7F-4C6A-94D1-86B0F31B7CE6}" name="Nombre"/>
    <tableColumn id="3" xr3:uid="{5453713C-9DF4-46FF-88FE-2C551BAA77D2}" name="Empresa"/>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F1B5EAC-4807-4E7A-9EEF-8CAE5530B037}" name="Tbl_Historico" displayName="Tbl_Historico" ref="A1:H6" totalsRowShown="0">
  <autoFilter ref="A1:H6" xr:uid="{6F1B5EAC-4807-4E7A-9EEF-8CAE5530B037}"/>
  <tableColumns count="8">
    <tableColumn id="1" xr3:uid="{DE36E06F-42C6-4497-BB98-368212EB0FFC}" name="ID_Simulacion"/>
    <tableColumn id="2" xr3:uid="{65A3171C-7E6F-4FDE-9F9F-E4ECE0EFDE7E}" name="Fecha" dataDxfId="35"/>
    <tableColumn id="3" xr3:uid="{AE5CCC68-C028-4C0B-B914-FB7B41C2A64A}" name="ID_Cliente"/>
    <tableColumn id="4" xr3:uid="{B133D4D2-9EE9-4710-869E-355DC6566BC1}" name="Monto"/>
    <tableColumn id="5" xr3:uid="{B404A860-0E3D-4BAF-9BCD-CEF0BAC2B18E}" name="Tasa_Anual" dataDxfId="34"/>
    <tableColumn id="6" xr3:uid="{B0352697-C1B9-4F0B-B003-454A4414FF43}" name="Plazo_Meses"/>
    <tableColumn id="7" xr3:uid="{2E6274B8-B1DC-46C8-AA6A-6209719177ED}" name="Cuota_Mensual"/>
    <tableColumn id="8" xr3:uid="{B5EAE441-0673-48A0-B69D-027349F16258}" name="Valor_Futur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2.vml"/><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drawing" Target="../drawings/drawing8.xml"/><Relationship Id="rId7" Type="http://schemas.openxmlformats.org/officeDocument/2006/relationships/ctrlProp" Target="../ctrlProps/ctrlProp4.xml"/><Relationship Id="rId2" Type="http://schemas.openxmlformats.org/officeDocument/2006/relationships/printerSettings" Target="../printerSettings/printerSettings2.bin"/><Relationship Id="rId1" Type="http://schemas.openxmlformats.org/officeDocument/2006/relationships/pivotTable" Target="../pivotTables/pivotTable8.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vmlDrawing" Target="../drawings/vmlDrawing3.vml"/><Relationship Id="rId9"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F8DA-62E0-4115-B2D2-15D5C915CC6A}">
  <dimension ref="A1:B15"/>
  <sheetViews>
    <sheetView workbookViewId="0">
      <selection activeCell="A2" sqref="A2"/>
    </sheetView>
  </sheetViews>
  <sheetFormatPr baseColWidth="10" defaultRowHeight="13.8"/>
  <cols>
    <col min="1" max="1" width="25.69921875" customWidth="1"/>
    <col min="2" max="2" width="28.09765625" customWidth="1"/>
  </cols>
  <sheetData>
    <row r="1" spans="1:2" ht="14.4">
      <c r="A1" s="51" t="s">
        <v>5</v>
      </c>
      <c r="B1" s="51"/>
    </row>
    <row r="2" spans="1:2">
      <c r="A2" s="36"/>
      <c r="B2" s="36"/>
    </row>
    <row r="3" spans="1:2">
      <c r="A3" s="36" t="s">
        <v>290</v>
      </c>
      <c r="B3" s="36">
        <v>64798.68</v>
      </c>
    </row>
    <row r="4" spans="1:2">
      <c r="A4" s="36" t="s">
        <v>291</v>
      </c>
      <c r="B4" s="36">
        <v>7134.1098908158638</v>
      </c>
    </row>
    <row r="5" spans="1:2">
      <c r="A5" s="36" t="s">
        <v>292</v>
      </c>
      <c r="B5" s="36">
        <v>59998</v>
      </c>
    </row>
    <row r="6" spans="1:2">
      <c r="A6" s="36" t="s">
        <v>293</v>
      </c>
      <c r="B6" s="36">
        <v>0</v>
      </c>
    </row>
    <row r="7" spans="1:2">
      <c r="A7" s="36" t="s">
        <v>294</v>
      </c>
      <c r="B7" s="36">
        <v>50445.774815259174</v>
      </c>
    </row>
    <row r="8" spans="1:2">
      <c r="A8" s="36" t="s">
        <v>295</v>
      </c>
      <c r="B8" s="36">
        <v>2544776196.7118368</v>
      </c>
    </row>
    <row r="9" spans="1:2">
      <c r="A9" s="36" t="s">
        <v>296</v>
      </c>
      <c r="B9" s="36">
        <v>0.64137079704466871</v>
      </c>
    </row>
    <row r="10" spans="1:2">
      <c r="A10" s="36" t="s">
        <v>297</v>
      </c>
      <c r="B10" s="36">
        <v>0.8233459150153396</v>
      </c>
    </row>
    <row r="11" spans="1:2">
      <c r="A11" s="36" t="s">
        <v>298</v>
      </c>
      <c r="B11" s="36">
        <v>209997</v>
      </c>
    </row>
    <row r="12" spans="1:2">
      <c r="A12" s="36" t="s">
        <v>299</v>
      </c>
      <c r="B12" s="36">
        <v>0</v>
      </c>
    </row>
    <row r="13" spans="1:2">
      <c r="A13" s="36" t="s">
        <v>300</v>
      </c>
      <c r="B13" s="36">
        <v>209997</v>
      </c>
    </row>
    <row r="14" spans="1:2">
      <c r="A14" s="36" t="s">
        <v>301</v>
      </c>
      <c r="B14" s="36">
        <v>3239934</v>
      </c>
    </row>
    <row r="15" spans="1:2" ht="14.4" thickBot="1">
      <c r="A15" s="49" t="s">
        <v>302</v>
      </c>
      <c r="B15" s="49">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29EF3-454E-459F-89F0-0A2075FF8874}">
  <sheetPr>
    <outlinePr summaryBelow="0"/>
  </sheetPr>
  <dimension ref="B1:G14"/>
  <sheetViews>
    <sheetView showGridLines="0" workbookViewId="0">
      <selection activeCell="J15" sqref="J15"/>
    </sheetView>
  </sheetViews>
  <sheetFormatPr baseColWidth="10" defaultRowHeight="13.8" outlineLevelRow="1" outlineLevelCol="1"/>
  <cols>
    <col min="3" max="3" width="6.19921875" bestFit="1" customWidth="1"/>
    <col min="4" max="7" width="13.3984375" bestFit="1" customWidth="1" outlineLevel="1"/>
  </cols>
  <sheetData>
    <row r="1" spans="2:7" ht="14.4" thickBot="1"/>
    <row r="2" spans="2:7" ht="15.6">
      <c r="B2" s="53" t="s">
        <v>326</v>
      </c>
      <c r="C2" s="53"/>
      <c r="D2" s="57"/>
      <c r="E2" s="57"/>
      <c r="F2" s="57"/>
      <c r="G2" s="57"/>
    </row>
    <row r="3" spans="2:7" ht="15.6" collapsed="1">
      <c r="B3" s="52"/>
      <c r="C3" s="52"/>
      <c r="D3" s="58" t="s">
        <v>321</v>
      </c>
      <c r="E3" s="58" t="s">
        <v>316</v>
      </c>
      <c r="F3" s="58" t="s">
        <v>318</v>
      </c>
      <c r="G3" s="58" t="s">
        <v>319</v>
      </c>
    </row>
    <row r="4" spans="2:7" ht="20.399999999999999" hidden="1" outlineLevel="1">
      <c r="B4" s="54"/>
      <c r="C4" s="54"/>
      <c r="D4" s="36"/>
      <c r="E4" s="60" t="s">
        <v>317</v>
      </c>
      <c r="F4" s="60" t="s">
        <v>317</v>
      </c>
      <c r="G4" s="60" t="s">
        <v>317</v>
      </c>
    </row>
    <row r="5" spans="2:7">
      <c r="B5" s="55" t="s">
        <v>320</v>
      </c>
      <c r="C5" s="55"/>
      <c r="D5" s="50"/>
      <c r="E5" s="50"/>
      <c r="F5" s="50"/>
      <c r="G5" s="50"/>
    </row>
    <row r="6" spans="2:7" outlineLevel="1">
      <c r="B6" s="54"/>
      <c r="C6" s="54" t="s">
        <v>311</v>
      </c>
      <c r="D6" s="36">
        <v>50000</v>
      </c>
      <c r="E6" s="59">
        <v>45000</v>
      </c>
      <c r="F6" s="59">
        <v>50000</v>
      </c>
      <c r="G6" s="59">
        <v>55000</v>
      </c>
    </row>
    <row r="7" spans="2:7" outlineLevel="1">
      <c r="B7" s="54"/>
      <c r="C7" s="54" t="s">
        <v>312</v>
      </c>
      <c r="D7" s="36">
        <v>100</v>
      </c>
      <c r="E7" s="59">
        <v>80</v>
      </c>
      <c r="F7" s="59">
        <v>100</v>
      </c>
      <c r="G7" s="59">
        <v>120</v>
      </c>
    </row>
    <row r="8" spans="2:7" outlineLevel="1">
      <c r="B8" s="54"/>
      <c r="C8" s="54" t="s">
        <v>313</v>
      </c>
      <c r="D8" s="36">
        <v>30000</v>
      </c>
      <c r="E8" s="59">
        <v>32000</v>
      </c>
      <c r="F8" s="59">
        <v>30000</v>
      </c>
      <c r="G8" s="59">
        <v>28000</v>
      </c>
    </row>
    <row r="9" spans="2:7" outlineLevel="1">
      <c r="B9" s="54"/>
      <c r="C9" s="54" t="s">
        <v>314</v>
      </c>
      <c r="D9" s="36">
        <v>1000000</v>
      </c>
      <c r="E9" s="59">
        <v>1100000</v>
      </c>
      <c r="F9" s="59">
        <v>1000000</v>
      </c>
      <c r="G9" s="59">
        <v>900000</v>
      </c>
    </row>
    <row r="10" spans="2:7">
      <c r="B10" s="55" t="s">
        <v>322</v>
      </c>
      <c r="C10" s="55"/>
      <c r="D10" s="50"/>
      <c r="E10" s="50"/>
      <c r="F10" s="50"/>
      <c r="G10" s="50"/>
    </row>
    <row r="11" spans="2:7" ht="14.4" outlineLevel="1" thickBot="1">
      <c r="B11" s="56"/>
      <c r="C11" s="56" t="s">
        <v>315</v>
      </c>
      <c r="D11" s="49">
        <v>1000000</v>
      </c>
      <c r="E11" s="49">
        <v>-60000</v>
      </c>
      <c r="F11" s="49">
        <v>1000000</v>
      </c>
      <c r="G11" s="49">
        <v>2340000</v>
      </c>
    </row>
    <row r="12" spans="2:7">
      <c r="B12" t="s">
        <v>323</v>
      </c>
    </row>
    <row r="13" spans="2:7">
      <c r="B13" t="s">
        <v>324</v>
      </c>
    </row>
    <row r="14" spans="2:7">
      <c r="B14" t="s">
        <v>325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2845-5616-4259-930D-A437EB46C024}">
  <dimension ref="A1:B10"/>
  <sheetViews>
    <sheetView workbookViewId="0">
      <selection activeCell="C6" sqref="C6"/>
    </sheetView>
  </sheetViews>
  <sheetFormatPr baseColWidth="10" defaultRowHeight="13.8"/>
  <cols>
    <col min="1" max="1" width="21.19921875" customWidth="1"/>
    <col min="3" max="3" width="27" customWidth="1"/>
  </cols>
  <sheetData>
    <row r="1" spans="1:2">
      <c r="A1" t="s">
        <v>303</v>
      </c>
    </row>
    <row r="2" spans="1:2">
      <c r="A2" t="s">
        <v>269</v>
      </c>
    </row>
    <row r="3" spans="1:2">
      <c r="A3" t="s">
        <v>304</v>
      </c>
      <c r="B3">
        <v>50000</v>
      </c>
    </row>
    <row r="4" spans="1:2">
      <c r="A4" t="s">
        <v>305</v>
      </c>
      <c r="B4">
        <v>100</v>
      </c>
    </row>
    <row r="5" spans="1:2">
      <c r="A5" t="s">
        <v>306</v>
      </c>
      <c r="B5">
        <v>30000</v>
      </c>
    </row>
    <row r="6" spans="1:2">
      <c r="A6" t="s">
        <v>307</v>
      </c>
      <c r="B6">
        <v>1000000</v>
      </c>
    </row>
    <row r="7" spans="1:2">
      <c r="A7" t="s">
        <v>269</v>
      </c>
    </row>
    <row r="8" spans="1:2">
      <c r="A8" t="s">
        <v>308</v>
      </c>
      <c r="B8">
        <f>B3*B4</f>
        <v>5000000</v>
      </c>
    </row>
    <row r="9" spans="1:2">
      <c r="A9" t="s">
        <v>309</v>
      </c>
      <c r="B9">
        <f>B5*B4</f>
        <v>3000000</v>
      </c>
    </row>
    <row r="10" spans="1:2">
      <c r="A10" t="s">
        <v>310</v>
      </c>
      <c r="B10">
        <f>B8-B9-B6</f>
        <v>1000000</v>
      </c>
    </row>
  </sheetData>
  <scenarios current="0" sqref="B10">
    <scenario name="PESIMISTA" locked="1" count="4" user="Mateo Guerrino" comment="Creado por Mateo Guerrino el 1/10/2026">
      <inputCells r="B3" val="45000"/>
      <inputCells r="B4" val="80"/>
      <inputCells r="B5" val="32000"/>
      <inputCells r="B6" val="1100000"/>
    </scenario>
    <scenario name="BASE" locked="1" count="4" user="Mateo Guerrino" comment="Creado por Mateo Guerrino el 1/10/2026">
      <inputCells r="B3" val="50000"/>
      <inputCells r="B4" val="100"/>
      <inputCells r="B5" val="30000"/>
      <inputCells r="B6" val="1000000"/>
    </scenario>
    <scenario name="Optimista" locked="1" count="4" user="Mateo Guerrino" comment="Creado por Mateo Guerrino el 1/10/2026">
      <inputCells r="B3" val="55000"/>
      <inputCells r="B4" val="120"/>
      <inputCells r="B5" val="28000"/>
      <inputCells r="B6" val="900000"/>
    </scenario>
  </scenario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B6D0A-983B-4A4D-850E-748CF19E905B}">
  <dimension ref="A1:Y52"/>
  <sheetViews>
    <sheetView showGridLines="0" tabSelected="1" topLeftCell="A7" zoomScale="63" zoomScaleNormal="90" workbookViewId="0">
      <selection activeCell="N41" sqref="N41"/>
    </sheetView>
  </sheetViews>
  <sheetFormatPr baseColWidth="10" defaultRowHeight="13.8"/>
  <cols>
    <col min="1" max="1" width="13.69921875" customWidth="1"/>
    <col min="16" max="16" width="18.5" hidden="1" customWidth="1"/>
    <col min="17" max="17" width="18.796875" hidden="1" customWidth="1"/>
    <col min="18" max="19" width="0" hidden="1" customWidth="1"/>
    <col min="20" max="20" width="14.8984375" hidden="1" customWidth="1"/>
    <col min="21" max="21" width="13.59765625" hidden="1" customWidth="1"/>
    <col min="22" max="23" width="0" hidden="1" customWidth="1"/>
    <col min="24" max="24" width="18.5" hidden="1" customWidth="1"/>
    <col min="25" max="25" width="18.796875" hidden="1" customWidth="1"/>
  </cols>
  <sheetData>
    <row r="1" spans="1:21">
      <c r="A1" s="67" t="s">
        <v>327</v>
      </c>
      <c r="B1" s="68"/>
      <c r="C1" s="68"/>
      <c r="D1" s="68"/>
      <c r="E1" s="68"/>
      <c r="F1" s="68"/>
      <c r="G1" s="68"/>
      <c r="H1" s="68"/>
      <c r="I1" s="68"/>
      <c r="J1" s="68"/>
      <c r="K1" s="68"/>
      <c r="L1" s="68"/>
      <c r="M1" s="68"/>
      <c r="N1" s="68"/>
    </row>
    <row r="2" spans="1:21">
      <c r="A2" s="68"/>
      <c r="B2" s="68"/>
      <c r="C2" s="68"/>
      <c r="D2" s="68"/>
      <c r="E2" s="68"/>
      <c r="F2" s="68"/>
      <c r="G2" s="68"/>
      <c r="H2" s="68"/>
      <c r="I2" s="68"/>
      <c r="J2" s="68"/>
      <c r="K2" s="68"/>
      <c r="L2" s="68"/>
      <c r="M2" s="68"/>
      <c r="N2" s="68"/>
      <c r="P2" t="s">
        <v>331</v>
      </c>
      <c r="Q2" t="s">
        <v>332</v>
      </c>
      <c r="T2" t="s">
        <v>4</v>
      </c>
      <c r="U2" s="43" t="s">
        <v>333</v>
      </c>
    </row>
    <row r="3" spans="1:21">
      <c r="P3" s="61">
        <v>3499926</v>
      </c>
      <c r="Q3" s="61">
        <v>72915.125</v>
      </c>
      <c r="T3" s="63">
        <v>2</v>
      </c>
      <c r="U3" s="65">
        <v>119998</v>
      </c>
    </row>
    <row r="4" spans="1:21">
      <c r="A4" s="70" t="s">
        <v>328</v>
      </c>
      <c r="B4" s="70"/>
      <c r="C4" s="70"/>
      <c r="D4" s="70"/>
      <c r="F4" s="70" t="s">
        <v>329</v>
      </c>
      <c r="G4" s="70"/>
      <c r="H4" s="70"/>
      <c r="I4" s="70"/>
      <c r="K4" s="70" t="s">
        <v>330</v>
      </c>
      <c r="L4" s="70"/>
      <c r="M4" s="70"/>
      <c r="N4" s="70"/>
      <c r="T4" s="64">
        <v>1</v>
      </c>
      <c r="U4" s="66">
        <v>44999</v>
      </c>
    </row>
    <row r="5" spans="1:21" ht="22.8" customHeight="1">
      <c r="A5" s="69">
        <f>P3</f>
        <v>3499926</v>
      </c>
      <c r="B5" s="69"/>
      <c r="C5" s="69"/>
      <c r="D5" s="69"/>
      <c r="F5" s="71">
        <f>Q3</f>
        <v>72915.125</v>
      </c>
      <c r="G5" s="71"/>
      <c r="H5" s="71"/>
      <c r="I5" s="71"/>
      <c r="K5" s="72">
        <f>Simulacion_Financiera!B10</f>
        <v>1000000</v>
      </c>
      <c r="L5" s="72"/>
      <c r="M5" s="72"/>
      <c r="N5" s="72"/>
      <c r="T5" s="63">
        <v>1</v>
      </c>
      <c r="U5" s="65">
        <v>49999</v>
      </c>
    </row>
    <row r="6" spans="1:21">
      <c r="A6" s="69"/>
      <c r="B6" s="69"/>
      <c r="C6" s="69"/>
      <c r="D6" s="69"/>
      <c r="F6" s="71"/>
      <c r="G6" s="71"/>
      <c r="H6" s="71"/>
      <c r="I6" s="71"/>
      <c r="K6" s="72"/>
      <c r="L6" s="72"/>
      <c r="M6" s="72"/>
      <c r="N6" s="72"/>
      <c r="T6" s="64">
        <v>2</v>
      </c>
      <c r="U6" s="66">
        <v>119998</v>
      </c>
    </row>
    <row r="7" spans="1:21">
      <c r="P7" s="34" t="s">
        <v>285</v>
      </c>
      <c r="Q7" t="s">
        <v>331</v>
      </c>
      <c r="T7" s="63">
        <v>1</v>
      </c>
      <c r="U7" s="65">
        <v>59999</v>
      </c>
    </row>
    <row r="8" spans="1:21">
      <c r="P8" s="62">
        <v>46235</v>
      </c>
      <c r="Q8" s="61">
        <v>169997</v>
      </c>
      <c r="T8" s="64">
        <v>2</v>
      </c>
      <c r="U8" s="66">
        <v>89998</v>
      </c>
    </row>
    <row r="9" spans="1:21">
      <c r="P9" s="62">
        <v>46236</v>
      </c>
      <c r="Q9" s="61">
        <v>319995</v>
      </c>
      <c r="T9" s="63">
        <v>1</v>
      </c>
      <c r="U9" s="65">
        <v>14999</v>
      </c>
    </row>
    <row r="10" spans="1:21">
      <c r="P10" s="62">
        <v>46237</v>
      </c>
      <c r="Q10" s="61">
        <v>179997</v>
      </c>
      <c r="T10" s="64">
        <v>1</v>
      </c>
      <c r="U10" s="66">
        <v>39999</v>
      </c>
    </row>
    <row r="11" spans="1:21">
      <c r="P11" s="62">
        <v>46238</v>
      </c>
      <c r="Q11" s="61">
        <v>0</v>
      </c>
      <c r="T11" s="63">
        <v>2</v>
      </c>
      <c r="U11" s="65">
        <v>0</v>
      </c>
    </row>
    <row r="12" spans="1:21">
      <c r="P12" s="62">
        <v>46239</v>
      </c>
      <c r="Q12" s="61">
        <v>119997</v>
      </c>
      <c r="T12" s="64">
        <v>2</v>
      </c>
      <c r="U12" s="66">
        <v>0</v>
      </c>
    </row>
    <row r="13" spans="1:21">
      <c r="P13" s="62">
        <v>46240</v>
      </c>
      <c r="Q13" s="61">
        <v>169996</v>
      </c>
      <c r="T13" s="63">
        <v>3</v>
      </c>
      <c r="U13" s="65">
        <v>119997</v>
      </c>
    </row>
    <row r="14" spans="1:21">
      <c r="P14" s="62">
        <v>46241</v>
      </c>
      <c r="Q14" s="61">
        <v>169997</v>
      </c>
      <c r="T14" s="64">
        <v>1</v>
      </c>
      <c r="U14" s="66">
        <v>69999</v>
      </c>
    </row>
    <row r="15" spans="1:21">
      <c r="P15" s="62">
        <v>46242</v>
      </c>
      <c r="Q15" s="61">
        <v>119998</v>
      </c>
      <c r="T15" s="63">
        <v>1</v>
      </c>
      <c r="U15" s="65">
        <v>44999</v>
      </c>
    </row>
    <row r="16" spans="1:21">
      <c r="P16" s="62">
        <v>46243</v>
      </c>
      <c r="Q16" s="61">
        <v>149996</v>
      </c>
      <c r="T16" s="64">
        <v>1</v>
      </c>
      <c r="U16" s="66">
        <v>49999</v>
      </c>
    </row>
    <row r="17" spans="16:25">
      <c r="P17" s="62">
        <v>46244</v>
      </c>
      <c r="Q17" s="61">
        <v>74997</v>
      </c>
      <c r="T17" s="63">
        <v>2</v>
      </c>
      <c r="U17" s="65">
        <v>99998</v>
      </c>
    </row>
    <row r="18" spans="16:25">
      <c r="P18" s="62">
        <v>46245</v>
      </c>
      <c r="Q18" s="61">
        <v>269995</v>
      </c>
      <c r="T18" s="64">
        <v>2</v>
      </c>
      <c r="U18" s="66">
        <v>79998</v>
      </c>
    </row>
    <row r="19" spans="16:25">
      <c r="P19" s="62">
        <v>46246</v>
      </c>
      <c r="Q19" s="61">
        <v>269996</v>
      </c>
      <c r="T19" s="63">
        <v>2</v>
      </c>
      <c r="U19" s="65">
        <v>119998</v>
      </c>
    </row>
    <row r="20" spans="16:25">
      <c r="P20" s="62">
        <v>46247</v>
      </c>
      <c r="Q20" s="61">
        <v>59999</v>
      </c>
      <c r="T20" s="64">
        <v>3</v>
      </c>
      <c r="U20" s="66">
        <v>179997</v>
      </c>
      <c r="X20" s="34" t="s">
        <v>285</v>
      </c>
      <c r="Y20" t="s">
        <v>331</v>
      </c>
    </row>
    <row r="21" spans="16:25">
      <c r="P21" s="62">
        <v>46248</v>
      </c>
      <c r="Q21" s="61">
        <v>0</v>
      </c>
      <c r="T21" s="63">
        <v>2</v>
      </c>
      <c r="U21" s="65">
        <v>139998</v>
      </c>
      <c r="X21" s="35">
        <v>1</v>
      </c>
      <c r="Y21" s="61">
        <v>609986</v>
      </c>
    </row>
    <row r="22" spans="16:25">
      <c r="P22" s="62">
        <v>46249</v>
      </c>
      <c r="Q22" s="61">
        <v>39999</v>
      </c>
      <c r="T22" s="64">
        <v>1</v>
      </c>
      <c r="U22" s="66">
        <v>49999</v>
      </c>
      <c r="X22" s="35">
        <v>2</v>
      </c>
      <c r="Y22" s="61">
        <v>1089976</v>
      </c>
    </row>
    <row r="23" spans="16:25">
      <c r="P23" s="62">
        <v>46250</v>
      </c>
      <c r="Q23" s="61">
        <v>139997</v>
      </c>
      <c r="T23" s="63">
        <v>1</v>
      </c>
      <c r="U23" s="65">
        <v>59999</v>
      </c>
      <c r="X23" s="35">
        <v>3</v>
      </c>
      <c r="Y23" s="61">
        <v>1799964</v>
      </c>
    </row>
    <row r="24" spans="16:25">
      <c r="P24" s="62">
        <v>46251</v>
      </c>
      <c r="Q24" s="61">
        <v>179997</v>
      </c>
      <c r="T24" s="64">
        <v>2</v>
      </c>
      <c r="U24" s="66">
        <v>89998</v>
      </c>
      <c r="X24" s="35" t="s">
        <v>239</v>
      </c>
      <c r="Y24" s="61">
        <v>3499926</v>
      </c>
    </row>
    <row r="25" spans="16:25">
      <c r="P25" s="62">
        <v>46252</v>
      </c>
      <c r="Q25" s="61">
        <v>224996</v>
      </c>
      <c r="T25" s="63">
        <v>3</v>
      </c>
      <c r="U25" s="65">
        <v>209997</v>
      </c>
    </row>
    <row r="26" spans="16:25">
      <c r="P26" s="62">
        <v>46253</v>
      </c>
      <c r="Q26" s="61">
        <v>74997</v>
      </c>
      <c r="T26" s="64">
        <v>1</v>
      </c>
      <c r="U26" s="66">
        <v>0</v>
      </c>
    </row>
    <row r="27" spans="16:25">
      <c r="P27" s="62">
        <v>46254</v>
      </c>
      <c r="Q27" s="61">
        <v>29998</v>
      </c>
      <c r="T27" s="63">
        <v>1</v>
      </c>
      <c r="U27" s="65">
        <v>49999</v>
      </c>
    </row>
    <row r="28" spans="16:25">
      <c r="P28" s="62">
        <v>46255</v>
      </c>
      <c r="Q28" s="61">
        <v>89997</v>
      </c>
      <c r="T28" s="64">
        <v>1</v>
      </c>
      <c r="U28" s="66">
        <v>0</v>
      </c>
    </row>
    <row r="29" spans="16:25">
      <c r="P29" s="62">
        <v>46256</v>
      </c>
      <c r="Q29" s="61">
        <v>69999</v>
      </c>
      <c r="T29" s="63">
        <v>2</v>
      </c>
      <c r="U29" s="65">
        <v>79998</v>
      </c>
    </row>
    <row r="30" spans="16:25">
      <c r="P30" s="62">
        <v>46257</v>
      </c>
      <c r="Q30" s="61">
        <v>119998</v>
      </c>
      <c r="T30" s="64">
        <v>1</v>
      </c>
      <c r="U30" s="66">
        <v>14999</v>
      </c>
    </row>
    <row r="31" spans="16:25">
      <c r="P31" s="62">
        <v>46258</v>
      </c>
      <c r="Q31" s="61">
        <v>0</v>
      </c>
      <c r="T31" s="63">
        <v>3</v>
      </c>
      <c r="U31" s="65">
        <v>89997</v>
      </c>
    </row>
    <row r="32" spans="16:25">
      <c r="P32" s="62">
        <v>46259</v>
      </c>
      <c r="Q32" s="61">
        <v>0</v>
      </c>
      <c r="T32" s="64">
        <v>2</v>
      </c>
      <c r="U32" s="66">
        <v>99998</v>
      </c>
    </row>
    <row r="33" spans="16:21">
      <c r="P33" s="62">
        <v>46260</v>
      </c>
      <c r="Q33" s="61">
        <v>79998</v>
      </c>
      <c r="T33" s="63">
        <v>2</v>
      </c>
      <c r="U33" s="65">
        <v>59998</v>
      </c>
    </row>
    <row r="34" spans="16:21">
      <c r="P34" s="62">
        <v>46261</v>
      </c>
      <c r="Q34" s="61">
        <v>149997</v>
      </c>
      <c r="T34" s="64">
        <v>1</v>
      </c>
      <c r="U34" s="66">
        <v>49999</v>
      </c>
    </row>
    <row r="35" spans="16:21">
      <c r="P35" s="62">
        <v>46262</v>
      </c>
      <c r="Q35" s="61">
        <v>59999</v>
      </c>
      <c r="T35" s="63">
        <v>1</v>
      </c>
      <c r="U35" s="65">
        <v>0</v>
      </c>
    </row>
    <row r="36" spans="16:21">
      <c r="P36" s="62">
        <v>46263</v>
      </c>
      <c r="Q36" s="61">
        <v>89998</v>
      </c>
      <c r="T36" s="64">
        <v>1</v>
      </c>
      <c r="U36" s="66">
        <v>44999</v>
      </c>
    </row>
    <row r="37" spans="16:21">
      <c r="P37" s="62">
        <v>46264</v>
      </c>
      <c r="Q37" s="61">
        <v>44997</v>
      </c>
      <c r="T37" s="63">
        <v>1</v>
      </c>
      <c r="U37" s="65">
        <v>69999</v>
      </c>
    </row>
    <row r="38" spans="16:21">
      <c r="P38" s="62">
        <v>46265</v>
      </c>
      <c r="Q38" s="61">
        <v>29999</v>
      </c>
      <c r="T38" s="64">
        <v>1</v>
      </c>
      <c r="U38" s="66">
        <v>49999</v>
      </c>
    </row>
    <row r="39" spans="16:21">
      <c r="P39" s="35" t="s">
        <v>239</v>
      </c>
      <c r="Q39" s="61">
        <v>3499926</v>
      </c>
      <c r="T39" s="63">
        <v>2</v>
      </c>
      <c r="U39" s="65">
        <v>79998</v>
      </c>
    </row>
    <row r="40" spans="16:21">
      <c r="T40" s="64">
        <v>1</v>
      </c>
      <c r="U40" s="66">
        <v>29999</v>
      </c>
    </row>
    <row r="41" spans="16:21">
      <c r="T41" s="63">
        <v>1</v>
      </c>
      <c r="U41" s="65">
        <v>39999</v>
      </c>
    </row>
    <row r="42" spans="16:21">
      <c r="P42" s="34" t="s">
        <v>285</v>
      </c>
      <c r="Q42" t="s">
        <v>331</v>
      </c>
      <c r="T42" s="64">
        <v>1</v>
      </c>
      <c r="U42" s="66">
        <v>0</v>
      </c>
    </row>
    <row r="43" spans="16:21">
      <c r="P43" s="35" t="s">
        <v>115</v>
      </c>
      <c r="Q43" s="61">
        <v>399990</v>
      </c>
      <c r="T43" s="63">
        <v>1</v>
      </c>
      <c r="U43" s="65">
        <v>59999</v>
      </c>
    </row>
    <row r="44" spans="16:21">
      <c r="P44" s="35" t="s">
        <v>117</v>
      </c>
      <c r="Q44" s="61">
        <v>349993</v>
      </c>
      <c r="T44" s="64">
        <v>1</v>
      </c>
      <c r="U44" s="66">
        <v>59999</v>
      </c>
    </row>
    <row r="45" spans="16:21">
      <c r="P45" s="35" t="s">
        <v>111</v>
      </c>
      <c r="Q45" s="61">
        <v>0</v>
      </c>
      <c r="T45" s="63">
        <v>3</v>
      </c>
      <c r="U45" s="65">
        <v>179997</v>
      </c>
    </row>
    <row r="46" spans="16:21">
      <c r="P46" s="35" t="s">
        <v>108</v>
      </c>
      <c r="Q46" s="61">
        <v>914983</v>
      </c>
      <c r="T46" s="64">
        <v>1</v>
      </c>
      <c r="U46" s="66">
        <v>0</v>
      </c>
    </row>
    <row r="47" spans="16:21">
      <c r="P47" s="35" t="s">
        <v>105</v>
      </c>
      <c r="Q47" s="61">
        <v>769989</v>
      </c>
      <c r="T47" s="63">
        <v>1</v>
      </c>
      <c r="U47" s="65">
        <v>0</v>
      </c>
    </row>
    <row r="48" spans="16:21">
      <c r="P48" s="35" t="s">
        <v>119</v>
      </c>
      <c r="Q48" s="61">
        <v>659989</v>
      </c>
      <c r="T48" s="64">
        <v>2</v>
      </c>
      <c r="U48" s="66">
        <v>0</v>
      </c>
    </row>
    <row r="49" spans="16:21">
      <c r="P49" s="35" t="s">
        <v>102</v>
      </c>
      <c r="Q49" s="61">
        <v>269991</v>
      </c>
      <c r="T49" s="63">
        <v>2</v>
      </c>
      <c r="U49" s="65">
        <v>59998</v>
      </c>
    </row>
    <row r="50" spans="16:21">
      <c r="P50" s="35" t="s">
        <v>113</v>
      </c>
      <c r="Q50" s="61">
        <v>134991</v>
      </c>
      <c r="T50" s="64">
        <v>2</v>
      </c>
      <c r="U50" s="66">
        <v>139998</v>
      </c>
    </row>
    <row r="51" spans="16:21">
      <c r="P51" s="35" t="s">
        <v>239</v>
      </c>
      <c r="Q51" s="61">
        <v>3499926</v>
      </c>
      <c r="T51" s="63">
        <v>1</v>
      </c>
      <c r="U51" s="65">
        <v>44999</v>
      </c>
    </row>
    <row r="52" spans="16:21">
      <c r="T52" s="64">
        <v>2</v>
      </c>
      <c r="U52" s="66">
        <v>79998</v>
      </c>
    </row>
  </sheetData>
  <mergeCells count="7">
    <mergeCell ref="A1:N2"/>
    <mergeCell ref="A5:D6"/>
    <mergeCell ref="F4:I4"/>
    <mergeCell ref="A4:D4"/>
    <mergeCell ref="F5:I6"/>
    <mergeCell ref="K4:N4"/>
    <mergeCell ref="K5:N6"/>
  </mergeCells>
  <conditionalFormatting sqref="K5:N6">
    <cfRule type="cellIs" dxfId="0" priority="1" operator="greaterThan">
      <formula>500000</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F51"/>
  <sheetViews>
    <sheetView topLeftCell="A27" workbookViewId="0">
      <selection activeCell="E2" sqref="E2:F51"/>
    </sheetView>
  </sheetViews>
  <sheetFormatPr baseColWidth="10" defaultColWidth="8.796875" defaultRowHeight="13.8"/>
  <cols>
    <col min="1" max="4" width="13" customWidth="1"/>
    <col min="5" max="5" width="11" customWidth="1"/>
    <col min="6" max="6" width="16" customWidth="1"/>
  </cols>
  <sheetData>
    <row r="1" spans="1:6">
      <c r="A1" s="1" t="s">
        <v>0</v>
      </c>
      <c r="B1" s="1" t="s">
        <v>1</v>
      </c>
      <c r="C1" s="1" t="s">
        <v>2</v>
      </c>
      <c r="D1" s="1" t="s">
        <v>3</v>
      </c>
      <c r="E1" s="1" t="s">
        <v>4</v>
      </c>
      <c r="F1" s="1" t="s">
        <v>5</v>
      </c>
    </row>
    <row r="2" spans="1:6">
      <c r="A2" t="s">
        <v>6</v>
      </c>
      <c r="B2" s="2">
        <v>46235</v>
      </c>
      <c r="C2" t="s">
        <v>7</v>
      </c>
      <c r="D2" t="s">
        <v>8</v>
      </c>
      <c r="E2">
        <v>2</v>
      </c>
      <c r="F2" s="3">
        <v>119998</v>
      </c>
    </row>
    <row r="3" spans="1:6">
      <c r="A3" t="s">
        <v>9</v>
      </c>
      <c r="B3" s="2">
        <v>46236</v>
      </c>
      <c r="C3" t="s">
        <v>10</v>
      </c>
      <c r="D3" t="s">
        <v>11</v>
      </c>
      <c r="E3">
        <v>1</v>
      </c>
      <c r="F3" s="3">
        <v>44999</v>
      </c>
    </row>
    <row r="4" spans="1:6">
      <c r="A4" t="s">
        <v>12</v>
      </c>
      <c r="B4" s="2">
        <v>46237</v>
      </c>
      <c r="C4" t="s">
        <v>13</v>
      </c>
      <c r="D4" t="s">
        <v>14</v>
      </c>
      <c r="E4">
        <v>1</v>
      </c>
      <c r="F4" s="3">
        <v>49999</v>
      </c>
    </row>
    <row r="5" spans="1:6">
      <c r="A5" t="s">
        <v>15</v>
      </c>
      <c r="B5" s="2">
        <v>46238</v>
      </c>
      <c r="C5" t="s">
        <v>7</v>
      </c>
      <c r="D5" t="s">
        <v>8</v>
      </c>
      <c r="E5">
        <v>2</v>
      </c>
      <c r="F5" s="3">
        <v>119998</v>
      </c>
    </row>
    <row r="6" spans="1:6">
      <c r="A6" t="s">
        <v>16</v>
      </c>
      <c r="B6" s="2">
        <v>46239</v>
      </c>
      <c r="C6" t="s">
        <v>7</v>
      </c>
      <c r="D6" t="s">
        <v>17</v>
      </c>
      <c r="E6">
        <v>1</v>
      </c>
      <c r="F6" s="3">
        <v>59999</v>
      </c>
    </row>
    <row r="7" spans="1:6">
      <c r="A7" t="s">
        <v>18</v>
      </c>
      <c r="B7" s="2">
        <v>46240</v>
      </c>
      <c r="C7" t="s">
        <v>10</v>
      </c>
      <c r="D7" t="s">
        <v>14</v>
      </c>
      <c r="E7">
        <v>2</v>
      </c>
      <c r="F7" s="3">
        <v>89998</v>
      </c>
    </row>
    <row r="8" spans="1:6">
      <c r="A8" t="s">
        <v>19</v>
      </c>
      <c r="B8" s="2">
        <v>46241</v>
      </c>
      <c r="C8" t="s">
        <v>20</v>
      </c>
      <c r="D8" t="s">
        <v>21</v>
      </c>
      <c r="E8">
        <v>1</v>
      </c>
      <c r="F8" s="3">
        <v>14999</v>
      </c>
    </row>
    <row r="9" spans="1:6">
      <c r="A9" t="s">
        <v>22</v>
      </c>
      <c r="B9" s="2">
        <v>46242</v>
      </c>
      <c r="C9" t="s">
        <v>23</v>
      </c>
      <c r="D9" t="s">
        <v>21</v>
      </c>
      <c r="E9">
        <v>1</v>
      </c>
      <c r="F9" s="3">
        <v>39999</v>
      </c>
    </row>
    <row r="10" spans="1:6">
      <c r="A10" t="s">
        <v>24</v>
      </c>
      <c r="B10" s="2">
        <v>46243</v>
      </c>
      <c r="C10" t="s">
        <v>25</v>
      </c>
      <c r="D10" t="s">
        <v>14</v>
      </c>
      <c r="E10">
        <v>2</v>
      </c>
      <c r="F10" s="3">
        <v>0</v>
      </c>
    </row>
    <row r="11" spans="1:6">
      <c r="A11" t="s">
        <v>26</v>
      </c>
      <c r="B11" s="2">
        <v>46244</v>
      </c>
      <c r="C11" t="s">
        <v>25</v>
      </c>
      <c r="D11" t="s">
        <v>27</v>
      </c>
      <c r="E11">
        <v>2</v>
      </c>
      <c r="F11" s="3">
        <v>0</v>
      </c>
    </row>
    <row r="12" spans="1:6">
      <c r="A12" t="s">
        <v>28</v>
      </c>
      <c r="B12" s="2">
        <v>46245</v>
      </c>
      <c r="C12" t="s">
        <v>23</v>
      </c>
      <c r="D12" t="s">
        <v>29</v>
      </c>
      <c r="E12">
        <v>3</v>
      </c>
      <c r="F12" s="3">
        <v>119997</v>
      </c>
    </row>
    <row r="13" spans="1:6">
      <c r="A13" t="s">
        <v>30</v>
      </c>
      <c r="B13" s="2">
        <v>46246</v>
      </c>
      <c r="C13" t="s">
        <v>31</v>
      </c>
      <c r="D13" t="s">
        <v>14</v>
      </c>
      <c r="E13">
        <v>1</v>
      </c>
      <c r="F13" s="3">
        <v>69999</v>
      </c>
    </row>
    <row r="14" spans="1:6">
      <c r="A14" t="s">
        <v>32</v>
      </c>
      <c r="B14" s="2">
        <v>46247</v>
      </c>
      <c r="C14" t="s">
        <v>10</v>
      </c>
      <c r="D14" t="s">
        <v>33</v>
      </c>
      <c r="E14">
        <v>1</v>
      </c>
      <c r="F14" s="3">
        <v>44999</v>
      </c>
    </row>
    <row r="15" spans="1:6">
      <c r="A15" t="s">
        <v>34</v>
      </c>
      <c r="B15" s="2">
        <v>46248</v>
      </c>
      <c r="C15" t="s">
        <v>13</v>
      </c>
      <c r="D15" t="s">
        <v>35</v>
      </c>
      <c r="E15">
        <v>1</v>
      </c>
      <c r="F15" s="3">
        <v>49999</v>
      </c>
    </row>
    <row r="16" spans="1:6">
      <c r="A16" t="s">
        <v>36</v>
      </c>
      <c r="B16" s="2">
        <v>46249</v>
      </c>
      <c r="C16" t="s">
        <v>13</v>
      </c>
      <c r="D16" t="s">
        <v>21</v>
      </c>
      <c r="E16">
        <v>2</v>
      </c>
      <c r="F16" s="3">
        <v>99998</v>
      </c>
    </row>
    <row r="17" spans="1:6">
      <c r="A17" t="s">
        <v>37</v>
      </c>
      <c r="B17" s="2">
        <v>46250</v>
      </c>
      <c r="C17" t="s">
        <v>23</v>
      </c>
      <c r="D17" t="s">
        <v>17</v>
      </c>
      <c r="E17">
        <v>2</v>
      </c>
      <c r="F17" s="3">
        <v>79998</v>
      </c>
    </row>
    <row r="18" spans="1:6">
      <c r="A18" t="s">
        <v>38</v>
      </c>
      <c r="B18" s="2">
        <v>46251</v>
      </c>
      <c r="C18" t="s">
        <v>39</v>
      </c>
      <c r="D18" t="s">
        <v>14</v>
      </c>
      <c r="E18">
        <v>2</v>
      </c>
      <c r="F18" s="3">
        <v>119998</v>
      </c>
    </row>
    <row r="19" spans="1:6">
      <c r="A19" t="s">
        <v>40</v>
      </c>
      <c r="B19" s="2">
        <v>46252</v>
      </c>
      <c r="C19" t="s">
        <v>39</v>
      </c>
      <c r="D19" t="s">
        <v>41</v>
      </c>
      <c r="E19">
        <v>3</v>
      </c>
      <c r="F19" s="3">
        <v>179997</v>
      </c>
    </row>
    <row r="20" spans="1:6">
      <c r="A20" t="s">
        <v>42</v>
      </c>
      <c r="B20" s="2">
        <v>46253</v>
      </c>
      <c r="C20" t="s">
        <v>31</v>
      </c>
      <c r="D20" t="s">
        <v>29</v>
      </c>
      <c r="E20">
        <v>2</v>
      </c>
      <c r="F20" s="3">
        <v>139998</v>
      </c>
    </row>
    <row r="21" spans="1:6">
      <c r="A21" t="s">
        <v>43</v>
      </c>
      <c r="B21" s="2">
        <v>46254</v>
      </c>
      <c r="C21" t="s">
        <v>13</v>
      </c>
      <c r="D21" t="s">
        <v>17</v>
      </c>
      <c r="E21">
        <v>1</v>
      </c>
      <c r="F21" s="3">
        <v>49999</v>
      </c>
    </row>
    <row r="22" spans="1:6">
      <c r="A22" t="s">
        <v>44</v>
      </c>
      <c r="B22" s="2">
        <v>46255</v>
      </c>
      <c r="C22" t="s">
        <v>7</v>
      </c>
      <c r="D22" t="s">
        <v>17</v>
      </c>
      <c r="E22">
        <v>1</v>
      </c>
      <c r="F22" s="3">
        <v>59999</v>
      </c>
    </row>
    <row r="23" spans="1:6">
      <c r="A23" t="s">
        <v>45</v>
      </c>
      <c r="B23" s="2">
        <v>46256</v>
      </c>
      <c r="C23" t="s">
        <v>10</v>
      </c>
      <c r="D23" t="s">
        <v>14</v>
      </c>
      <c r="E23">
        <v>2</v>
      </c>
      <c r="F23" s="3">
        <v>89998</v>
      </c>
    </row>
    <row r="24" spans="1:6">
      <c r="A24" t="s">
        <v>46</v>
      </c>
      <c r="B24" s="2">
        <v>46257</v>
      </c>
      <c r="C24" t="s">
        <v>31</v>
      </c>
      <c r="D24" t="s">
        <v>33</v>
      </c>
      <c r="E24">
        <v>3</v>
      </c>
      <c r="F24" s="3">
        <v>209997</v>
      </c>
    </row>
    <row r="25" spans="1:6">
      <c r="A25" t="s">
        <v>47</v>
      </c>
      <c r="B25" s="2">
        <v>46258</v>
      </c>
      <c r="C25" t="s">
        <v>48</v>
      </c>
      <c r="D25" t="s">
        <v>11</v>
      </c>
      <c r="E25">
        <v>1</v>
      </c>
      <c r="F25" s="3">
        <v>0</v>
      </c>
    </row>
    <row r="26" spans="1:6">
      <c r="A26" t="s">
        <v>49</v>
      </c>
      <c r="B26" s="2">
        <v>46259</v>
      </c>
      <c r="C26" t="s">
        <v>13</v>
      </c>
      <c r="D26" t="s">
        <v>8</v>
      </c>
      <c r="E26">
        <v>1</v>
      </c>
      <c r="F26" s="3">
        <v>49999</v>
      </c>
    </row>
    <row r="27" spans="1:6">
      <c r="A27" t="s">
        <v>50</v>
      </c>
      <c r="B27" s="2">
        <v>46260</v>
      </c>
      <c r="C27" t="s">
        <v>48</v>
      </c>
      <c r="D27" t="s">
        <v>33</v>
      </c>
      <c r="E27">
        <v>1</v>
      </c>
      <c r="F27" s="3">
        <v>0</v>
      </c>
    </row>
    <row r="28" spans="1:6">
      <c r="A28" t="s">
        <v>51</v>
      </c>
      <c r="B28" s="2">
        <v>46261</v>
      </c>
      <c r="C28" t="s">
        <v>23</v>
      </c>
      <c r="D28" t="s">
        <v>11</v>
      </c>
      <c r="E28">
        <v>2</v>
      </c>
      <c r="F28" s="3">
        <v>79998</v>
      </c>
    </row>
    <row r="29" spans="1:6">
      <c r="A29" t="s">
        <v>52</v>
      </c>
      <c r="B29" s="2">
        <v>46262</v>
      </c>
      <c r="C29" t="s">
        <v>20</v>
      </c>
      <c r="D29" t="s">
        <v>41</v>
      </c>
      <c r="E29">
        <v>1</v>
      </c>
      <c r="F29" s="3">
        <v>14999</v>
      </c>
    </row>
    <row r="30" spans="1:6">
      <c r="A30" t="s">
        <v>53</v>
      </c>
      <c r="B30" s="2">
        <v>46263</v>
      </c>
      <c r="C30" t="s">
        <v>54</v>
      </c>
      <c r="D30" t="s">
        <v>29</v>
      </c>
      <c r="E30">
        <v>3</v>
      </c>
      <c r="F30" s="3">
        <v>89997</v>
      </c>
    </row>
    <row r="31" spans="1:6">
      <c r="A31" t="s">
        <v>55</v>
      </c>
      <c r="B31" s="2">
        <v>46264</v>
      </c>
      <c r="C31" t="s">
        <v>13</v>
      </c>
      <c r="D31" t="s">
        <v>14</v>
      </c>
      <c r="E31">
        <v>2</v>
      </c>
      <c r="F31" s="3">
        <v>99998</v>
      </c>
    </row>
    <row r="32" spans="1:6">
      <c r="A32" t="s">
        <v>56</v>
      </c>
      <c r="B32" s="2">
        <v>46265</v>
      </c>
      <c r="C32" t="s">
        <v>54</v>
      </c>
      <c r="D32" t="s">
        <v>33</v>
      </c>
      <c r="E32">
        <v>2</v>
      </c>
      <c r="F32" s="3">
        <v>59998</v>
      </c>
    </row>
    <row r="33" spans="1:6">
      <c r="A33" t="s">
        <v>57</v>
      </c>
      <c r="B33" s="2">
        <v>46235</v>
      </c>
      <c r="C33" t="s">
        <v>13</v>
      </c>
      <c r="D33" t="s">
        <v>14</v>
      </c>
      <c r="E33">
        <v>1</v>
      </c>
      <c r="F33" s="3">
        <v>49999</v>
      </c>
    </row>
    <row r="34" spans="1:6">
      <c r="A34" t="s">
        <v>58</v>
      </c>
      <c r="B34" s="2">
        <v>46236</v>
      </c>
      <c r="C34" t="s">
        <v>25</v>
      </c>
      <c r="D34" t="s">
        <v>17</v>
      </c>
      <c r="E34">
        <v>1</v>
      </c>
      <c r="F34" s="3">
        <v>0</v>
      </c>
    </row>
    <row r="35" spans="1:6">
      <c r="A35" t="s">
        <v>59</v>
      </c>
      <c r="B35" s="2">
        <v>46237</v>
      </c>
      <c r="C35" t="s">
        <v>10</v>
      </c>
      <c r="D35" t="s">
        <v>33</v>
      </c>
      <c r="E35">
        <v>1</v>
      </c>
      <c r="F35" s="3">
        <v>44999</v>
      </c>
    </row>
    <row r="36" spans="1:6">
      <c r="A36" t="s">
        <v>60</v>
      </c>
      <c r="B36" s="2">
        <v>46238</v>
      </c>
      <c r="C36" t="s">
        <v>31</v>
      </c>
      <c r="D36" t="s">
        <v>8</v>
      </c>
      <c r="E36">
        <v>1</v>
      </c>
      <c r="F36" s="3">
        <v>69999</v>
      </c>
    </row>
    <row r="37" spans="1:6">
      <c r="A37" t="s">
        <v>61</v>
      </c>
      <c r="B37" s="2">
        <v>46239</v>
      </c>
      <c r="C37" t="s">
        <v>13</v>
      </c>
      <c r="D37" t="s">
        <v>8</v>
      </c>
      <c r="E37">
        <v>1</v>
      </c>
      <c r="F37" s="3">
        <v>49999</v>
      </c>
    </row>
    <row r="38" spans="1:6">
      <c r="A38" t="s">
        <v>62</v>
      </c>
      <c r="B38" s="2">
        <v>46240</v>
      </c>
      <c r="C38" t="s">
        <v>23</v>
      </c>
      <c r="D38" t="s">
        <v>17</v>
      </c>
      <c r="E38">
        <v>2</v>
      </c>
      <c r="F38" s="3">
        <v>79998</v>
      </c>
    </row>
    <row r="39" spans="1:6">
      <c r="A39" t="s">
        <v>63</v>
      </c>
      <c r="B39" s="2">
        <v>46241</v>
      </c>
      <c r="C39" t="s">
        <v>54</v>
      </c>
      <c r="D39" t="s">
        <v>41</v>
      </c>
      <c r="E39">
        <v>1</v>
      </c>
      <c r="F39" s="3">
        <v>29999</v>
      </c>
    </row>
    <row r="40" spans="1:6">
      <c r="A40" t="s">
        <v>64</v>
      </c>
      <c r="B40" s="2">
        <v>46242</v>
      </c>
      <c r="C40" t="s">
        <v>23</v>
      </c>
      <c r="D40" t="s">
        <v>33</v>
      </c>
      <c r="E40">
        <v>1</v>
      </c>
      <c r="F40" s="3">
        <v>39999</v>
      </c>
    </row>
    <row r="41" spans="1:6">
      <c r="A41" t="s">
        <v>65</v>
      </c>
      <c r="B41" s="2">
        <v>46243</v>
      </c>
      <c r="C41" t="s">
        <v>48</v>
      </c>
      <c r="D41" t="s">
        <v>35</v>
      </c>
      <c r="E41">
        <v>1</v>
      </c>
      <c r="F41" s="3">
        <v>0</v>
      </c>
    </row>
    <row r="42" spans="1:6">
      <c r="A42" t="s">
        <v>66</v>
      </c>
      <c r="B42" s="2">
        <v>46244</v>
      </c>
      <c r="C42" t="s">
        <v>7</v>
      </c>
      <c r="D42" t="s">
        <v>33</v>
      </c>
      <c r="E42">
        <v>1</v>
      </c>
      <c r="F42" s="3">
        <v>59999</v>
      </c>
    </row>
    <row r="43" spans="1:6">
      <c r="A43" t="s">
        <v>67</v>
      </c>
      <c r="B43" s="2">
        <v>46245</v>
      </c>
      <c r="C43" t="s">
        <v>7</v>
      </c>
      <c r="D43" t="s">
        <v>41</v>
      </c>
      <c r="E43">
        <v>1</v>
      </c>
      <c r="F43" s="3">
        <v>59999</v>
      </c>
    </row>
    <row r="44" spans="1:6">
      <c r="A44" t="s">
        <v>68</v>
      </c>
      <c r="B44" s="2">
        <v>46246</v>
      </c>
      <c r="C44" t="s">
        <v>39</v>
      </c>
      <c r="D44" t="s">
        <v>33</v>
      </c>
      <c r="E44">
        <v>3</v>
      </c>
      <c r="F44" s="3">
        <v>179997</v>
      </c>
    </row>
    <row r="45" spans="1:6">
      <c r="A45" t="s">
        <v>69</v>
      </c>
      <c r="B45" s="2">
        <v>46247</v>
      </c>
      <c r="C45" t="s">
        <v>25</v>
      </c>
      <c r="D45" t="s">
        <v>17</v>
      </c>
      <c r="E45">
        <v>1</v>
      </c>
      <c r="F45" s="3">
        <v>0</v>
      </c>
    </row>
    <row r="46" spans="1:6">
      <c r="A46" t="s">
        <v>70</v>
      </c>
      <c r="B46" s="2">
        <v>46248</v>
      </c>
      <c r="C46" t="s">
        <v>48</v>
      </c>
      <c r="D46" t="s">
        <v>11</v>
      </c>
      <c r="E46">
        <v>1</v>
      </c>
      <c r="F46" s="3">
        <v>0</v>
      </c>
    </row>
    <row r="47" spans="1:6">
      <c r="A47" t="s">
        <v>71</v>
      </c>
      <c r="B47" s="2">
        <v>46249</v>
      </c>
      <c r="C47" t="s">
        <v>25</v>
      </c>
      <c r="D47" t="s">
        <v>14</v>
      </c>
      <c r="E47">
        <v>2</v>
      </c>
      <c r="F47" s="3">
        <v>0</v>
      </c>
    </row>
    <row r="48" spans="1:6">
      <c r="A48" t="s">
        <v>72</v>
      </c>
      <c r="B48" s="2">
        <v>46250</v>
      </c>
      <c r="C48" t="s">
        <v>54</v>
      </c>
      <c r="D48" t="s">
        <v>33</v>
      </c>
      <c r="E48">
        <v>2</v>
      </c>
      <c r="F48" s="3">
        <v>59998</v>
      </c>
    </row>
    <row r="49" spans="1:6">
      <c r="A49" t="s">
        <v>73</v>
      </c>
      <c r="B49" s="2">
        <v>46251</v>
      </c>
      <c r="C49" t="s">
        <v>31</v>
      </c>
      <c r="D49" t="s">
        <v>11</v>
      </c>
      <c r="E49">
        <v>2</v>
      </c>
      <c r="F49" s="3">
        <v>139998</v>
      </c>
    </row>
    <row r="50" spans="1:6">
      <c r="A50" t="s">
        <v>74</v>
      </c>
      <c r="B50" s="2">
        <v>46252</v>
      </c>
      <c r="C50" t="s">
        <v>10</v>
      </c>
      <c r="D50" t="s">
        <v>21</v>
      </c>
      <c r="E50">
        <v>1</v>
      </c>
      <c r="F50" s="3">
        <v>44999</v>
      </c>
    </row>
    <row r="51" spans="1:6">
      <c r="A51" t="s">
        <v>75</v>
      </c>
      <c r="B51" s="2">
        <v>46253</v>
      </c>
      <c r="C51" t="s">
        <v>23</v>
      </c>
      <c r="D51" t="s">
        <v>8</v>
      </c>
      <c r="E51">
        <v>2</v>
      </c>
      <c r="F51" s="3">
        <v>79998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J51"/>
  <sheetViews>
    <sheetView showGridLines="0" topLeftCell="A31" workbookViewId="0">
      <selection activeCell="G2" sqref="G2:J7"/>
    </sheetView>
  </sheetViews>
  <sheetFormatPr baseColWidth="10" defaultColWidth="8.796875" defaultRowHeight="13.8"/>
  <cols>
    <col min="1" max="2" width="13" customWidth="1"/>
    <col min="3" max="3" width="11" customWidth="1"/>
    <col min="4" max="4" width="16" customWidth="1"/>
    <col min="5" max="5" width="18" customWidth="1"/>
    <col min="7" max="7" width="20" customWidth="1"/>
    <col min="8" max="10" width="18" customWidth="1"/>
  </cols>
  <sheetData>
    <row r="1" spans="1:10">
      <c r="A1" s="5" t="s">
        <v>0</v>
      </c>
      <c r="B1" s="5" t="s">
        <v>2</v>
      </c>
      <c r="C1" s="5" t="s">
        <v>4</v>
      </c>
      <c r="D1" s="5" t="s">
        <v>5</v>
      </c>
      <c r="E1" s="5" t="s">
        <v>76</v>
      </c>
      <c r="G1" s="6" t="s">
        <v>77</v>
      </c>
    </row>
    <row r="2" spans="1:10">
      <c r="A2" t="str">
        <f>Dataset_Principal!A2</f>
        <v>V-001</v>
      </c>
      <c r="B2" t="str">
        <f>Dataset_Principal!C2</f>
        <v>J-008</v>
      </c>
      <c r="C2">
        <f>Dataset_Principal!E2</f>
        <v>2</v>
      </c>
      <c r="D2" s="3">
        <f>Dataset_Principal!F2</f>
        <v>119998</v>
      </c>
      <c r="E2" t="str">
        <f t="shared" ref="E2:E33" si="0">IF(AND(D2&gt;=100000,C2&gt;=2),"Venta Alta",IF(D2&gt;=50000,"Venta Media","Venta Baja"))</f>
        <v>Venta Alta</v>
      </c>
      <c r="G2" s="73" t="s">
        <v>78</v>
      </c>
      <c r="H2" s="74"/>
      <c r="I2" s="74"/>
      <c r="J2" s="74"/>
    </row>
    <row r="3" spans="1:10">
      <c r="A3" t="str">
        <f>Dataset_Principal!A3</f>
        <v>V-002</v>
      </c>
      <c r="B3" t="str">
        <f>Dataset_Principal!C3</f>
        <v>J-009</v>
      </c>
      <c r="C3">
        <f>Dataset_Principal!E3</f>
        <v>1</v>
      </c>
      <c r="D3" s="3">
        <f>Dataset_Principal!F3</f>
        <v>44999</v>
      </c>
      <c r="E3" t="str">
        <f t="shared" si="0"/>
        <v>Venta Baja</v>
      </c>
      <c r="G3" s="74"/>
      <c r="H3" s="75"/>
      <c r="I3" s="75"/>
      <c r="J3" s="74"/>
    </row>
    <row r="4" spans="1:10">
      <c r="A4" t="str">
        <f>Dataset_Principal!A4</f>
        <v>V-003</v>
      </c>
      <c r="B4" t="str">
        <f>Dataset_Principal!C4</f>
        <v>J-007</v>
      </c>
      <c r="C4">
        <f>Dataset_Principal!E4</f>
        <v>1</v>
      </c>
      <c r="D4" s="3">
        <f>Dataset_Principal!F4</f>
        <v>49999</v>
      </c>
      <c r="E4" t="str">
        <f t="shared" si="0"/>
        <v>Venta Baja</v>
      </c>
      <c r="G4" s="74"/>
      <c r="H4" s="75"/>
      <c r="I4" s="75"/>
      <c r="J4" s="74"/>
    </row>
    <row r="5" spans="1:10">
      <c r="A5" t="str">
        <f>Dataset_Principal!A5</f>
        <v>V-004</v>
      </c>
      <c r="B5" t="str">
        <f>Dataset_Principal!C5</f>
        <v>J-008</v>
      </c>
      <c r="C5">
        <f>Dataset_Principal!E5</f>
        <v>2</v>
      </c>
      <c r="D5" s="3">
        <f>Dataset_Principal!F5</f>
        <v>119998</v>
      </c>
      <c r="E5" t="str">
        <f t="shared" si="0"/>
        <v>Venta Alta</v>
      </c>
      <c r="G5" s="74"/>
      <c r="H5" s="75"/>
      <c r="I5" s="75"/>
      <c r="J5" s="74"/>
    </row>
    <row r="6" spans="1:10">
      <c r="A6" t="str">
        <f>Dataset_Principal!A6</f>
        <v>V-005</v>
      </c>
      <c r="B6" t="str">
        <f>Dataset_Principal!C6</f>
        <v>J-008</v>
      </c>
      <c r="C6">
        <f>Dataset_Principal!E6</f>
        <v>1</v>
      </c>
      <c r="D6" s="3">
        <f>Dataset_Principal!F6</f>
        <v>59999</v>
      </c>
      <c r="E6" t="str">
        <f t="shared" si="0"/>
        <v>Venta Media</v>
      </c>
      <c r="G6" s="74"/>
      <c r="H6" s="75"/>
      <c r="I6" s="75"/>
      <c r="J6" s="74"/>
    </row>
    <row r="7" spans="1:10">
      <c r="A7" t="str">
        <f>Dataset_Principal!A7</f>
        <v>V-006</v>
      </c>
      <c r="B7" t="str">
        <f>Dataset_Principal!C7</f>
        <v>J-009</v>
      </c>
      <c r="C7">
        <f>Dataset_Principal!E7</f>
        <v>2</v>
      </c>
      <c r="D7" s="3">
        <f>Dataset_Principal!F7</f>
        <v>89998</v>
      </c>
      <c r="E7" t="str">
        <f t="shared" si="0"/>
        <v>Venta Media</v>
      </c>
      <c r="G7" s="74"/>
      <c r="H7" s="74"/>
      <c r="I7" s="74"/>
      <c r="J7" s="74"/>
    </row>
    <row r="8" spans="1:10">
      <c r="A8" t="str">
        <f>Dataset_Principal!A8</f>
        <v>V-007</v>
      </c>
      <c r="B8" t="str">
        <f>Dataset_Principal!C8</f>
        <v>J-010</v>
      </c>
      <c r="C8">
        <f>Dataset_Principal!E8</f>
        <v>1</v>
      </c>
      <c r="D8" s="3">
        <f>Dataset_Principal!F8</f>
        <v>14999</v>
      </c>
      <c r="E8" t="str">
        <f t="shared" si="0"/>
        <v>Venta Baja</v>
      </c>
    </row>
    <row r="9" spans="1:10">
      <c r="A9" t="str">
        <f>Dataset_Principal!A9</f>
        <v>V-008</v>
      </c>
      <c r="B9" t="str">
        <f>Dataset_Principal!C9</f>
        <v>J-006</v>
      </c>
      <c r="C9">
        <f>Dataset_Principal!E9</f>
        <v>1</v>
      </c>
      <c r="D9" s="3">
        <f>Dataset_Principal!F9</f>
        <v>39999</v>
      </c>
      <c r="E9" t="str">
        <f t="shared" si="0"/>
        <v>Venta Baja</v>
      </c>
    </row>
    <row r="10" spans="1:10">
      <c r="A10" t="str">
        <f>Dataset_Principal!A10</f>
        <v>V-009</v>
      </c>
      <c r="B10" t="str">
        <f>Dataset_Principal!C10</f>
        <v>J-004</v>
      </c>
      <c r="C10">
        <f>Dataset_Principal!E10</f>
        <v>2</v>
      </c>
      <c r="D10" s="3">
        <f>Dataset_Principal!F10</f>
        <v>0</v>
      </c>
      <c r="E10" t="str">
        <f t="shared" si="0"/>
        <v>Venta Baja</v>
      </c>
    </row>
    <row r="11" spans="1:10">
      <c r="A11" t="str">
        <f>Dataset_Principal!A11</f>
        <v>V-010</v>
      </c>
      <c r="B11" t="str">
        <f>Dataset_Principal!C11</f>
        <v>J-004</v>
      </c>
      <c r="C11">
        <f>Dataset_Principal!E11</f>
        <v>2</v>
      </c>
      <c r="D11" s="3">
        <f>Dataset_Principal!F11</f>
        <v>0</v>
      </c>
      <c r="E11" t="str">
        <f t="shared" si="0"/>
        <v>Venta Baja</v>
      </c>
    </row>
    <row r="12" spans="1:10">
      <c r="A12" t="str">
        <f>Dataset_Principal!A12</f>
        <v>V-011</v>
      </c>
      <c r="B12" t="str">
        <f>Dataset_Principal!C12</f>
        <v>J-006</v>
      </c>
      <c r="C12">
        <f>Dataset_Principal!E12</f>
        <v>3</v>
      </c>
      <c r="D12" s="3">
        <f>Dataset_Principal!F12</f>
        <v>119997</v>
      </c>
      <c r="E12" t="str">
        <f t="shared" si="0"/>
        <v>Venta Alta</v>
      </c>
    </row>
    <row r="13" spans="1:10">
      <c r="A13" t="str">
        <f>Dataset_Principal!A13</f>
        <v>V-012</v>
      </c>
      <c r="B13" t="str">
        <f>Dataset_Principal!C13</f>
        <v>J-002</v>
      </c>
      <c r="C13">
        <f>Dataset_Principal!E13</f>
        <v>1</v>
      </c>
      <c r="D13" s="3">
        <f>Dataset_Principal!F13</f>
        <v>69999</v>
      </c>
      <c r="E13" t="str">
        <f t="shared" si="0"/>
        <v>Venta Media</v>
      </c>
    </row>
    <row r="14" spans="1:10">
      <c r="A14" t="str">
        <f>Dataset_Principal!A14</f>
        <v>V-013</v>
      </c>
      <c r="B14" t="str">
        <f>Dataset_Principal!C14</f>
        <v>J-009</v>
      </c>
      <c r="C14">
        <f>Dataset_Principal!E14</f>
        <v>1</v>
      </c>
      <c r="D14" s="3">
        <f>Dataset_Principal!F14</f>
        <v>44999</v>
      </c>
      <c r="E14" t="str">
        <f t="shared" si="0"/>
        <v>Venta Baja</v>
      </c>
    </row>
    <row r="15" spans="1:10">
      <c r="A15" t="str">
        <f>Dataset_Principal!A15</f>
        <v>V-014</v>
      </c>
      <c r="B15" t="str">
        <f>Dataset_Principal!C15</f>
        <v>J-007</v>
      </c>
      <c r="C15">
        <f>Dataset_Principal!E15</f>
        <v>1</v>
      </c>
      <c r="D15" s="3">
        <f>Dataset_Principal!F15</f>
        <v>49999</v>
      </c>
      <c r="E15" t="str">
        <f t="shared" si="0"/>
        <v>Venta Baja</v>
      </c>
    </row>
    <row r="16" spans="1:10">
      <c r="A16" t="str">
        <f>Dataset_Principal!A16</f>
        <v>V-015</v>
      </c>
      <c r="B16" t="str">
        <f>Dataset_Principal!C16</f>
        <v>J-007</v>
      </c>
      <c r="C16">
        <f>Dataset_Principal!E16</f>
        <v>2</v>
      </c>
      <c r="D16" s="3">
        <f>Dataset_Principal!F16</f>
        <v>99998</v>
      </c>
      <c r="E16" t="str">
        <f t="shared" si="0"/>
        <v>Venta Media</v>
      </c>
    </row>
    <row r="17" spans="1:5">
      <c r="A17" t="str">
        <f>Dataset_Principal!A17</f>
        <v>V-016</v>
      </c>
      <c r="B17" t="str">
        <f>Dataset_Principal!C17</f>
        <v>J-006</v>
      </c>
      <c r="C17">
        <f>Dataset_Principal!E17</f>
        <v>2</v>
      </c>
      <c r="D17" s="3">
        <f>Dataset_Principal!F17</f>
        <v>79998</v>
      </c>
      <c r="E17" t="str">
        <f t="shared" si="0"/>
        <v>Venta Media</v>
      </c>
    </row>
    <row r="18" spans="1:5">
      <c r="A18" t="str">
        <f>Dataset_Principal!A18</f>
        <v>V-017</v>
      </c>
      <c r="B18" t="str">
        <f>Dataset_Principal!C18</f>
        <v>J-003</v>
      </c>
      <c r="C18">
        <f>Dataset_Principal!E18</f>
        <v>2</v>
      </c>
      <c r="D18" s="3">
        <f>Dataset_Principal!F18</f>
        <v>119998</v>
      </c>
      <c r="E18" t="str">
        <f t="shared" si="0"/>
        <v>Venta Alta</v>
      </c>
    </row>
    <row r="19" spans="1:5">
      <c r="A19" t="str">
        <f>Dataset_Principal!A19</f>
        <v>V-018</v>
      </c>
      <c r="B19" t="str">
        <f>Dataset_Principal!C19</f>
        <v>J-003</v>
      </c>
      <c r="C19">
        <f>Dataset_Principal!E19</f>
        <v>3</v>
      </c>
      <c r="D19" s="3">
        <f>Dataset_Principal!F19</f>
        <v>179997</v>
      </c>
      <c r="E19" t="str">
        <f t="shared" si="0"/>
        <v>Venta Alta</v>
      </c>
    </row>
    <row r="20" spans="1:5">
      <c r="A20" t="str">
        <f>Dataset_Principal!A20</f>
        <v>V-019</v>
      </c>
      <c r="B20" t="str">
        <f>Dataset_Principal!C20</f>
        <v>J-002</v>
      </c>
      <c r="C20">
        <f>Dataset_Principal!E20</f>
        <v>2</v>
      </c>
      <c r="D20" s="3">
        <f>Dataset_Principal!F20</f>
        <v>139998</v>
      </c>
      <c r="E20" t="str">
        <f t="shared" si="0"/>
        <v>Venta Alta</v>
      </c>
    </row>
    <row r="21" spans="1:5">
      <c r="A21" t="str">
        <f>Dataset_Principal!A21</f>
        <v>V-020</v>
      </c>
      <c r="B21" t="str">
        <f>Dataset_Principal!C21</f>
        <v>J-007</v>
      </c>
      <c r="C21">
        <f>Dataset_Principal!E21</f>
        <v>1</v>
      </c>
      <c r="D21" s="3">
        <f>Dataset_Principal!F21</f>
        <v>49999</v>
      </c>
      <c r="E21" t="str">
        <f t="shared" si="0"/>
        <v>Venta Baja</v>
      </c>
    </row>
    <row r="22" spans="1:5">
      <c r="A22" t="str">
        <f>Dataset_Principal!A22</f>
        <v>V-021</v>
      </c>
      <c r="B22" t="str">
        <f>Dataset_Principal!C22</f>
        <v>J-008</v>
      </c>
      <c r="C22">
        <f>Dataset_Principal!E22</f>
        <v>1</v>
      </c>
      <c r="D22" s="3">
        <f>Dataset_Principal!F22</f>
        <v>59999</v>
      </c>
      <c r="E22" t="str">
        <f t="shared" si="0"/>
        <v>Venta Media</v>
      </c>
    </row>
    <row r="23" spans="1:5">
      <c r="A23" t="str">
        <f>Dataset_Principal!A23</f>
        <v>V-022</v>
      </c>
      <c r="B23" t="str">
        <f>Dataset_Principal!C23</f>
        <v>J-009</v>
      </c>
      <c r="C23">
        <f>Dataset_Principal!E23</f>
        <v>2</v>
      </c>
      <c r="D23" s="3">
        <f>Dataset_Principal!F23</f>
        <v>89998</v>
      </c>
      <c r="E23" t="str">
        <f t="shared" si="0"/>
        <v>Venta Media</v>
      </c>
    </row>
    <row r="24" spans="1:5">
      <c r="A24" t="str">
        <f>Dataset_Principal!A24</f>
        <v>V-023</v>
      </c>
      <c r="B24" t="str">
        <f>Dataset_Principal!C24</f>
        <v>J-002</v>
      </c>
      <c r="C24">
        <f>Dataset_Principal!E24</f>
        <v>3</v>
      </c>
      <c r="D24" s="3">
        <f>Dataset_Principal!F24</f>
        <v>209997</v>
      </c>
      <c r="E24" t="str">
        <f t="shared" si="0"/>
        <v>Venta Alta</v>
      </c>
    </row>
    <row r="25" spans="1:5">
      <c r="A25" t="str">
        <f>Dataset_Principal!A25</f>
        <v>V-024</v>
      </c>
      <c r="B25" t="str">
        <f>Dataset_Principal!C25</f>
        <v>J-005</v>
      </c>
      <c r="C25">
        <f>Dataset_Principal!E25</f>
        <v>1</v>
      </c>
      <c r="D25" s="3">
        <f>Dataset_Principal!F25</f>
        <v>0</v>
      </c>
      <c r="E25" t="str">
        <f t="shared" si="0"/>
        <v>Venta Baja</v>
      </c>
    </row>
    <row r="26" spans="1:5">
      <c r="A26" t="str">
        <f>Dataset_Principal!A26</f>
        <v>V-025</v>
      </c>
      <c r="B26" t="str">
        <f>Dataset_Principal!C26</f>
        <v>J-007</v>
      </c>
      <c r="C26">
        <f>Dataset_Principal!E26</f>
        <v>1</v>
      </c>
      <c r="D26" s="3">
        <f>Dataset_Principal!F26</f>
        <v>49999</v>
      </c>
      <c r="E26" t="str">
        <f t="shared" si="0"/>
        <v>Venta Baja</v>
      </c>
    </row>
    <row r="27" spans="1:5">
      <c r="A27" t="str">
        <f>Dataset_Principal!A27</f>
        <v>V-026</v>
      </c>
      <c r="B27" t="str">
        <f>Dataset_Principal!C27</f>
        <v>J-005</v>
      </c>
      <c r="C27">
        <f>Dataset_Principal!E27</f>
        <v>1</v>
      </c>
      <c r="D27" s="3">
        <f>Dataset_Principal!F27</f>
        <v>0</v>
      </c>
      <c r="E27" t="str">
        <f t="shared" si="0"/>
        <v>Venta Baja</v>
      </c>
    </row>
    <row r="28" spans="1:5">
      <c r="A28" t="str">
        <f>Dataset_Principal!A28</f>
        <v>V-027</v>
      </c>
      <c r="B28" t="str">
        <f>Dataset_Principal!C28</f>
        <v>J-006</v>
      </c>
      <c r="C28">
        <f>Dataset_Principal!E28</f>
        <v>2</v>
      </c>
      <c r="D28" s="3">
        <f>Dataset_Principal!F28</f>
        <v>79998</v>
      </c>
      <c r="E28" t="str">
        <f t="shared" si="0"/>
        <v>Venta Media</v>
      </c>
    </row>
    <row r="29" spans="1:5">
      <c r="A29" t="str">
        <f>Dataset_Principal!A29</f>
        <v>V-028</v>
      </c>
      <c r="B29" t="str">
        <f>Dataset_Principal!C29</f>
        <v>J-010</v>
      </c>
      <c r="C29">
        <f>Dataset_Principal!E29</f>
        <v>1</v>
      </c>
      <c r="D29" s="3">
        <f>Dataset_Principal!F29</f>
        <v>14999</v>
      </c>
      <c r="E29" t="str">
        <f t="shared" si="0"/>
        <v>Venta Baja</v>
      </c>
    </row>
    <row r="30" spans="1:5">
      <c r="A30" t="str">
        <f>Dataset_Principal!A30</f>
        <v>V-029</v>
      </c>
      <c r="B30" t="str">
        <f>Dataset_Principal!C30</f>
        <v>J-001</v>
      </c>
      <c r="C30">
        <f>Dataset_Principal!E30</f>
        <v>3</v>
      </c>
      <c r="D30" s="3">
        <f>Dataset_Principal!F30</f>
        <v>89997</v>
      </c>
      <c r="E30" t="str">
        <f t="shared" si="0"/>
        <v>Venta Media</v>
      </c>
    </row>
    <row r="31" spans="1:5">
      <c r="A31" t="str">
        <f>Dataset_Principal!A31</f>
        <v>V-030</v>
      </c>
      <c r="B31" t="str">
        <f>Dataset_Principal!C31</f>
        <v>J-007</v>
      </c>
      <c r="C31">
        <f>Dataset_Principal!E31</f>
        <v>2</v>
      </c>
      <c r="D31" s="3">
        <f>Dataset_Principal!F31</f>
        <v>99998</v>
      </c>
      <c r="E31" t="str">
        <f t="shared" si="0"/>
        <v>Venta Media</v>
      </c>
    </row>
    <row r="32" spans="1:5">
      <c r="A32" t="str">
        <f>Dataset_Principal!A32</f>
        <v>V-031</v>
      </c>
      <c r="B32" t="str">
        <f>Dataset_Principal!C32</f>
        <v>J-001</v>
      </c>
      <c r="C32">
        <f>Dataset_Principal!E32</f>
        <v>2</v>
      </c>
      <c r="D32" s="3">
        <f>Dataset_Principal!F32</f>
        <v>59998</v>
      </c>
      <c r="E32" t="str">
        <f t="shared" si="0"/>
        <v>Venta Media</v>
      </c>
    </row>
    <row r="33" spans="1:5">
      <c r="A33" t="str">
        <f>Dataset_Principal!A33</f>
        <v>V-032</v>
      </c>
      <c r="B33" t="str">
        <f>Dataset_Principal!C33</f>
        <v>J-007</v>
      </c>
      <c r="C33">
        <f>Dataset_Principal!E33</f>
        <v>1</v>
      </c>
      <c r="D33" s="3">
        <f>Dataset_Principal!F33</f>
        <v>49999</v>
      </c>
      <c r="E33" t="str">
        <f t="shared" si="0"/>
        <v>Venta Baja</v>
      </c>
    </row>
    <row r="34" spans="1:5">
      <c r="A34" t="str">
        <f>Dataset_Principal!A34</f>
        <v>V-033</v>
      </c>
      <c r="B34" t="str">
        <f>Dataset_Principal!C34</f>
        <v>J-004</v>
      </c>
      <c r="C34">
        <f>Dataset_Principal!E34</f>
        <v>1</v>
      </c>
      <c r="D34" s="3">
        <f>Dataset_Principal!F34</f>
        <v>0</v>
      </c>
      <c r="E34" t="str">
        <f t="shared" ref="E34:E51" si="1">IF(AND(D34&gt;=100000,C34&gt;=2),"Venta Alta",IF(D34&gt;=50000,"Venta Media","Venta Baja"))</f>
        <v>Venta Baja</v>
      </c>
    </row>
    <row r="35" spans="1:5">
      <c r="A35" t="str">
        <f>Dataset_Principal!A35</f>
        <v>V-034</v>
      </c>
      <c r="B35" t="str">
        <f>Dataset_Principal!C35</f>
        <v>J-009</v>
      </c>
      <c r="C35">
        <f>Dataset_Principal!E35</f>
        <v>1</v>
      </c>
      <c r="D35" s="3">
        <f>Dataset_Principal!F35</f>
        <v>44999</v>
      </c>
      <c r="E35" t="str">
        <f t="shared" si="1"/>
        <v>Venta Baja</v>
      </c>
    </row>
    <row r="36" spans="1:5">
      <c r="A36" t="str">
        <f>Dataset_Principal!A36</f>
        <v>V-035</v>
      </c>
      <c r="B36" t="str">
        <f>Dataset_Principal!C36</f>
        <v>J-002</v>
      </c>
      <c r="C36">
        <f>Dataset_Principal!E36</f>
        <v>1</v>
      </c>
      <c r="D36" s="3">
        <f>Dataset_Principal!F36</f>
        <v>69999</v>
      </c>
      <c r="E36" t="str">
        <f t="shared" si="1"/>
        <v>Venta Media</v>
      </c>
    </row>
    <row r="37" spans="1:5">
      <c r="A37" t="str">
        <f>Dataset_Principal!A37</f>
        <v>V-036</v>
      </c>
      <c r="B37" t="str">
        <f>Dataset_Principal!C37</f>
        <v>J-007</v>
      </c>
      <c r="C37">
        <f>Dataset_Principal!E37</f>
        <v>1</v>
      </c>
      <c r="D37" s="3">
        <f>Dataset_Principal!F37</f>
        <v>49999</v>
      </c>
      <c r="E37" t="str">
        <f t="shared" si="1"/>
        <v>Venta Baja</v>
      </c>
    </row>
    <row r="38" spans="1:5">
      <c r="A38" t="str">
        <f>Dataset_Principal!A38</f>
        <v>V-037</v>
      </c>
      <c r="B38" t="str">
        <f>Dataset_Principal!C38</f>
        <v>J-006</v>
      </c>
      <c r="C38">
        <f>Dataset_Principal!E38</f>
        <v>2</v>
      </c>
      <c r="D38" s="3">
        <f>Dataset_Principal!F38</f>
        <v>79998</v>
      </c>
      <c r="E38" t="str">
        <f t="shared" si="1"/>
        <v>Venta Media</v>
      </c>
    </row>
    <row r="39" spans="1:5">
      <c r="A39" t="str">
        <f>Dataset_Principal!A39</f>
        <v>V-038</v>
      </c>
      <c r="B39" t="str">
        <f>Dataset_Principal!C39</f>
        <v>J-001</v>
      </c>
      <c r="C39">
        <f>Dataset_Principal!E39</f>
        <v>1</v>
      </c>
      <c r="D39" s="3">
        <f>Dataset_Principal!F39</f>
        <v>29999</v>
      </c>
      <c r="E39" t="str">
        <f t="shared" si="1"/>
        <v>Venta Baja</v>
      </c>
    </row>
    <row r="40" spans="1:5">
      <c r="A40" t="str">
        <f>Dataset_Principal!A40</f>
        <v>V-039</v>
      </c>
      <c r="B40" t="str">
        <f>Dataset_Principal!C40</f>
        <v>J-006</v>
      </c>
      <c r="C40">
        <f>Dataset_Principal!E40</f>
        <v>1</v>
      </c>
      <c r="D40" s="3">
        <f>Dataset_Principal!F40</f>
        <v>39999</v>
      </c>
      <c r="E40" t="str">
        <f t="shared" si="1"/>
        <v>Venta Baja</v>
      </c>
    </row>
    <row r="41" spans="1:5">
      <c r="A41" t="str">
        <f>Dataset_Principal!A41</f>
        <v>V-040</v>
      </c>
      <c r="B41" t="str">
        <f>Dataset_Principal!C41</f>
        <v>J-005</v>
      </c>
      <c r="C41">
        <f>Dataset_Principal!E41</f>
        <v>1</v>
      </c>
      <c r="D41" s="3">
        <f>Dataset_Principal!F41</f>
        <v>0</v>
      </c>
      <c r="E41" t="str">
        <f t="shared" si="1"/>
        <v>Venta Baja</v>
      </c>
    </row>
    <row r="42" spans="1:5">
      <c r="A42" t="str">
        <f>Dataset_Principal!A42</f>
        <v>V-041</v>
      </c>
      <c r="B42" t="str">
        <f>Dataset_Principal!C42</f>
        <v>J-008</v>
      </c>
      <c r="C42">
        <f>Dataset_Principal!E42</f>
        <v>1</v>
      </c>
      <c r="D42" s="3">
        <f>Dataset_Principal!F42</f>
        <v>59999</v>
      </c>
      <c r="E42" t="str">
        <f t="shared" si="1"/>
        <v>Venta Media</v>
      </c>
    </row>
    <row r="43" spans="1:5">
      <c r="A43" t="str">
        <f>Dataset_Principal!A43</f>
        <v>V-042</v>
      </c>
      <c r="B43" t="str">
        <f>Dataset_Principal!C43</f>
        <v>J-008</v>
      </c>
      <c r="C43">
        <f>Dataset_Principal!E43</f>
        <v>1</v>
      </c>
      <c r="D43" s="3">
        <f>Dataset_Principal!F43</f>
        <v>59999</v>
      </c>
      <c r="E43" t="str">
        <f t="shared" si="1"/>
        <v>Venta Media</v>
      </c>
    </row>
    <row r="44" spans="1:5">
      <c r="A44" t="str">
        <f>Dataset_Principal!A44</f>
        <v>V-043</v>
      </c>
      <c r="B44" t="str">
        <f>Dataset_Principal!C44</f>
        <v>J-003</v>
      </c>
      <c r="C44">
        <f>Dataset_Principal!E44</f>
        <v>3</v>
      </c>
      <c r="D44" s="3">
        <f>Dataset_Principal!F44</f>
        <v>179997</v>
      </c>
      <c r="E44" t="str">
        <f t="shared" si="1"/>
        <v>Venta Alta</v>
      </c>
    </row>
    <row r="45" spans="1:5">
      <c r="A45" t="str">
        <f>Dataset_Principal!A45</f>
        <v>V-044</v>
      </c>
      <c r="B45" t="str">
        <f>Dataset_Principal!C45</f>
        <v>J-004</v>
      </c>
      <c r="C45">
        <f>Dataset_Principal!E45</f>
        <v>1</v>
      </c>
      <c r="D45" s="3">
        <f>Dataset_Principal!F45</f>
        <v>0</v>
      </c>
      <c r="E45" t="str">
        <f t="shared" si="1"/>
        <v>Venta Baja</v>
      </c>
    </row>
    <row r="46" spans="1:5">
      <c r="A46" t="str">
        <f>Dataset_Principal!A46</f>
        <v>V-045</v>
      </c>
      <c r="B46" t="str">
        <f>Dataset_Principal!C46</f>
        <v>J-005</v>
      </c>
      <c r="C46">
        <f>Dataset_Principal!E46</f>
        <v>1</v>
      </c>
      <c r="D46" s="3">
        <f>Dataset_Principal!F46</f>
        <v>0</v>
      </c>
      <c r="E46" t="str">
        <f t="shared" si="1"/>
        <v>Venta Baja</v>
      </c>
    </row>
    <row r="47" spans="1:5">
      <c r="A47" t="str">
        <f>Dataset_Principal!A47</f>
        <v>V-046</v>
      </c>
      <c r="B47" t="str">
        <f>Dataset_Principal!C47</f>
        <v>J-004</v>
      </c>
      <c r="C47">
        <f>Dataset_Principal!E47</f>
        <v>2</v>
      </c>
      <c r="D47" s="3">
        <f>Dataset_Principal!F47</f>
        <v>0</v>
      </c>
      <c r="E47" t="str">
        <f t="shared" si="1"/>
        <v>Venta Baja</v>
      </c>
    </row>
    <row r="48" spans="1:5">
      <c r="A48" t="str">
        <f>Dataset_Principal!A48</f>
        <v>V-047</v>
      </c>
      <c r="B48" t="str">
        <f>Dataset_Principal!C48</f>
        <v>J-001</v>
      </c>
      <c r="C48">
        <f>Dataset_Principal!E48</f>
        <v>2</v>
      </c>
      <c r="D48" s="3">
        <f>Dataset_Principal!F48</f>
        <v>59998</v>
      </c>
      <c r="E48" t="str">
        <f t="shared" si="1"/>
        <v>Venta Media</v>
      </c>
    </row>
    <row r="49" spans="1:5">
      <c r="A49" t="str">
        <f>Dataset_Principal!A49</f>
        <v>V-048</v>
      </c>
      <c r="B49" t="str">
        <f>Dataset_Principal!C49</f>
        <v>J-002</v>
      </c>
      <c r="C49">
        <f>Dataset_Principal!E49</f>
        <v>2</v>
      </c>
      <c r="D49" s="3">
        <f>Dataset_Principal!F49</f>
        <v>139998</v>
      </c>
      <c r="E49" t="str">
        <f t="shared" si="1"/>
        <v>Venta Alta</v>
      </c>
    </row>
    <row r="50" spans="1:5">
      <c r="A50" t="str">
        <f>Dataset_Principal!A50</f>
        <v>V-049</v>
      </c>
      <c r="B50" t="str">
        <f>Dataset_Principal!C50</f>
        <v>J-009</v>
      </c>
      <c r="C50">
        <f>Dataset_Principal!E50</f>
        <v>1</v>
      </c>
      <c r="D50" s="3">
        <f>Dataset_Principal!F50</f>
        <v>44999</v>
      </c>
      <c r="E50" t="str">
        <f t="shared" si="1"/>
        <v>Venta Baja</v>
      </c>
    </row>
    <row r="51" spans="1:5">
      <c r="A51" t="str">
        <f>Dataset_Principal!A51</f>
        <v>V-050</v>
      </c>
      <c r="B51" t="str">
        <f>Dataset_Principal!C51</f>
        <v>J-006</v>
      </c>
      <c r="C51">
        <f>Dataset_Principal!E51</f>
        <v>2</v>
      </c>
      <c r="D51" s="3">
        <f>Dataset_Principal!F51</f>
        <v>79998</v>
      </c>
      <c r="E51" t="str">
        <f t="shared" si="1"/>
        <v>Venta Media</v>
      </c>
    </row>
  </sheetData>
  <mergeCells count="1">
    <mergeCell ref="G2:J7"/>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38"/>
  <sheetViews>
    <sheetView showGridLines="0" topLeftCell="A18" workbookViewId="0">
      <selection sqref="A1:E1"/>
    </sheetView>
  </sheetViews>
  <sheetFormatPr baseColWidth="10" defaultColWidth="8.796875" defaultRowHeight="13.8"/>
  <cols>
    <col min="1" max="1" width="15" customWidth="1"/>
    <col min="2" max="5" width="18" customWidth="1"/>
    <col min="7" max="7" width="15" customWidth="1"/>
  </cols>
  <sheetData>
    <row r="1" spans="1:5" ht="17.399999999999999">
      <c r="A1" s="77" t="s">
        <v>79</v>
      </c>
      <c r="B1" s="74"/>
      <c r="C1" s="74"/>
      <c r="D1" s="74"/>
      <c r="E1" s="74"/>
    </row>
    <row r="2" spans="1:5">
      <c r="A2" s="76" t="s">
        <v>80</v>
      </c>
      <c r="B2" s="74"/>
      <c r="C2" s="74"/>
      <c r="D2" s="74"/>
      <c r="E2" s="74"/>
    </row>
    <row r="4" spans="1:5">
      <c r="A4" s="5" t="s">
        <v>81</v>
      </c>
      <c r="B4" s="5" t="s">
        <v>82</v>
      </c>
      <c r="C4" s="5" t="s">
        <v>83</v>
      </c>
      <c r="D4" s="5" t="s">
        <v>84</v>
      </c>
      <c r="E4" s="5" t="s">
        <v>85</v>
      </c>
    </row>
    <row r="5" spans="1:5">
      <c r="A5" s="2">
        <v>46235</v>
      </c>
      <c r="B5" s="3">
        <f>SUMIF(Dataset_Principal!$B$2:$B$51,A5,Dataset_Principal!$F$2:$F$51)</f>
        <v>169997</v>
      </c>
      <c r="C5" s="3"/>
      <c r="D5" s="3"/>
      <c r="E5" s="3"/>
    </row>
    <row r="6" spans="1:5">
      <c r="A6" s="2">
        <v>46236</v>
      </c>
      <c r="B6" s="3">
        <f>SUMIF(Dataset_Principal!$B$2:$B$51,A6,Dataset_Principal!$F$2:$F$51)</f>
        <v>44999</v>
      </c>
      <c r="C6" s="3"/>
      <c r="D6" s="3"/>
      <c r="E6" s="3"/>
    </row>
    <row r="7" spans="1:5">
      <c r="A7" s="2">
        <v>46237</v>
      </c>
      <c r="B7" s="3">
        <f>SUMIF(Dataset_Principal!$B$2:$B$51,A7,Dataset_Principal!$F$2:$F$51)</f>
        <v>94998</v>
      </c>
      <c r="C7" s="3"/>
      <c r="D7" s="3"/>
      <c r="E7" s="3"/>
    </row>
    <row r="8" spans="1:5">
      <c r="A8" s="2">
        <v>46238</v>
      </c>
      <c r="B8" s="3">
        <f>SUMIF(Dataset_Principal!$B$2:$B$51,A8,Dataset_Principal!$F$2:$F$51)</f>
        <v>189997</v>
      </c>
      <c r="C8" s="3"/>
      <c r="D8" s="3"/>
      <c r="E8" s="3"/>
    </row>
    <row r="9" spans="1:5">
      <c r="A9" s="2">
        <v>46239</v>
      </c>
      <c r="B9" s="3">
        <f>SUMIF(Dataset_Principal!$B$2:$B$51,A9,Dataset_Principal!$F$2:$F$51)</f>
        <v>109998</v>
      </c>
      <c r="C9" s="3"/>
      <c r="D9" s="3"/>
      <c r="E9" s="3"/>
    </row>
    <row r="10" spans="1:5">
      <c r="A10" s="2">
        <v>46240</v>
      </c>
      <c r="B10" s="3">
        <f>SUMIF(Dataset_Principal!$B$2:$B$51,A10,Dataset_Principal!$F$2:$F$51)</f>
        <v>169996</v>
      </c>
      <c r="C10" s="3"/>
      <c r="D10" s="3"/>
      <c r="E10" s="3"/>
    </row>
    <row r="11" spans="1:5">
      <c r="A11" s="2">
        <v>46241</v>
      </c>
      <c r="B11" s="3">
        <f>SUMIF(Dataset_Principal!$B$2:$B$51,A11,Dataset_Principal!$F$2:$F$51)</f>
        <v>44998</v>
      </c>
      <c r="C11" s="3"/>
      <c r="D11" s="3"/>
      <c r="E11" s="3"/>
    </row>
    <row r="12" spans="1:5">
      <c r="A12" s="2">
        <v>46242</v>
      </c>
      <c r="B12" s="3">
        <f>SUMIF(Dataset_Principal!$B$2:$B$51,A12,Dataset_Principal!$F$2:$F$51)</f>
        <v>79998</v>
      </c>
      <c r="C12" s="3"/>
      <c r="D12" s="3"/>
      <c r="E12" s="3"/>
    </row>
    <row r="13" spans="1:5">
      <c r="A13" s="2">
        <v>46243</v>
      </c>
      <c r="B13" s="3">
        <f>SUMIF(Dataset_Principal!$B$2:$B$51,A13,Dataset_Principal!$F$2:$F$51)</f>
        <v>0</v>
      </c>
      <c r="C13" s="3"/>
      <c r="D13" s="3"/>
      <c r="E13" s="3"/>
    </row>
    <row r="14" spans="1:5">
      <c r="A14" s="2">
        <v>46244</v>
      </c>
      <c r="B14" s="3">
        <f>SUMIF(Dataset_Principal!$B$2:$B$51,A14,Dataset_Principal!$F$2:$F$51)</f>
        <v>59999</v>
      </c>
      <c r="C14" s="3"/>
      <c r="D14" s="3"/>
      <c r="E14" s="3"/>
    </row>
    <row r="15" spans="1:5">
      <c r="A15" s="2">
        <v>46245</v>
      </c>
      <c r="B15" s="3">
        <f>SUMIF(Dataset_Principal!$B$2:$B$51,A15,Dataset_Principal!$F$2:$F$51)</f>
        <v>179996</v>
      </c>
      <c r="C15" s="3"/>
      <c r="D15" s="3"/>
      <c r="E15" s="3"/>
    </row>
    <row r="16" spans="1:5">
      <c r="A16" s="2">
        <v>46246</v>
      </c>
      <c r="B16" s="3">
        <f>SUMIF(Dataset_Principal!$B$2:$B$51,A16,Dataset_Principal!$F$2:$F$51)</f>
        <v>249996</v>
      </c>
      <c r="C16" s="3"/>
      <c r="D16" s="3"/>
      <c r="E16" s="3"/>
    </row>
    <row r="17" spans="1:5">
      <c r="A17" s="2">
        <v>46247</v>
      </c>
      <c r="B17" s="3">
        <f>SUMIF(Dataset_Principal!$B$2:$B$51,A17,Dataset_Principal!$F$2:$F$51)</f>
        <v>44999</v>
      </c>
      <c r="C17" s="3"/>
      <c r="D17" s="3"/>
      <c r="E17" s="3"/>
    </row>
    <row r="18" spans="1:5">
      <c r="A18" s="2">
        <v>46248</v>
      </c>
      <c r="B18" s="3">
        <f>SUMIF(Dataset_Principal!$B$2:$B$51,A18,Dataset_Principal!$F$2:$F$51)</f>
        <v>49999</v>
      </c>
      <c r="C18" s="3"/>
      <c r="D18" s="3"/>
      <c r="E18" s="3"/>
    </row>
    <row r="19" spans="1:5">
      <c r="A19" s="2">
        <v>46249</v>
      </c>
      <c r="B19" s="3">
        <f>SUMIF(Dataset_Principal!$B$2:$B$51,A19,Dataset_Principal!$F$2:$F$51)</f>
        <v>99998</v>
      </c>
      <c r="C19" s="3"/>
      <c r="D19" s="3"/>
      <c r="E19" s="3"/>
    </row>
    <row r="20" spans="1:5">
      <c r="A20" s="2">
        <v>46250</v>
      </c>
      <c r="B20" s="3">
        <f>SUMIF(Dataset_Principal!$B$2:$B$51,A20,Dataset_Principal!$F$2:$F$51)</f>
        <v>139996</v>
      </c>
      <c r="C20" s="3"/>
      <c r="D20" s="3"/>
      <c r="E20" s="3"/>
    </row>
    <row r="21" spans="1:5">
      <c r="A21" s="2">
        <v>46251</v>
      </c>
      <c r="B21" s="3">
        <f>SUMIF(Dataset_Principal!$B$2:$B$51,A21,Dataset_Principal!$F$2:$F$51)</f>
        <v>259996</v>
      </c>
      <c r="C21" s="3"/>
      <c r="D21" s="3"/>
      <c r="E21" s="3"/>
    </row>
    <row r="22" spans="1:5">
      <c r="A22" s="2">
        <v>46252</v>
      </c>
      <c r="B22" s="3">
        <f>SUMIF(Dataset_Principal!$B$2:$B$51,A22,Dataset_Principal!$F$2:$F$51)</f>
        <v>224996</v>
      </c>
      <c r="C22" s="3"/>
      <c r="D22" s="3"/>
      <c r="E22" s="3"/>
    </row>
    <row r="23" spans="1:5">
      <c r="A23" s="2">
        <v>46253</v>
      </c>
      <c r="B23" s="3">
        <f>SUMIF(Dataset_Principal!$B$2:$B$51,A23,Dataset_Principal!$F$2:$F$51)</f>
        <v>219996</v>
      </c>
      <c r="C23" s="3"/>
      <c r="D23" s="3"/>
      <c r="E23" s="3"/>
    </row>
    <row r="24" spans="1:5">
      <c r="A24" s="2">
        <v>46254</v>
      </c>
      <c r="B24" s="3">
        <f>SUMIF(Dataset_Principal!$B$2:$B$51,A24,Dataset_Principal!$F$2:$F$51)</f>
        <v>49999</v>
      </c>
      <c r="C24" s="3"/>
      <c r="D24" s="3"/>
      <c r="E24" s="3"/>
    </row>
    <row r="25" spans="1:5">
      <c r="A25" s="2">
        <v>46255</v>
      </c>
      <c r="B25" s="3">
        <f>SUMIF(Dataset_Principal!$B$2:$B$51,A25,Dataset_Principal!$F$2:$F$51)</f>
        <v>59999</v>
      </c>
      <c r="C25" s="3"/>
      <c r="D25" s="3"/>
      <c r="E25" s="3"/>
    </row>
    <row r="26" spans="1:5">
      <c r="A26" s="2">
        <v>46256</v>
      </c>
      <c r="B26" s="3">
        <f>SUMIF(Dataset_Principal!$B$2:$B$51,A26,Dataset_Principal!$F$2:$F$51)</f>
        <v>89998</v>
      </c>
      <c r="C26" s="3"/>
      <c r="D26" s="3"/>
      <c r="E26" s="3"/>
    </row>
    <row r="27" spans="1:5">
      <c r="A27" s="2">
        <v>46257</v>
      </c>
      <c r="B27" s="3">
        <f>SUMIF(Dataset_Principal!$B$2:$B$51,A27,Dataset_Principal!$F$2:$F$51)</f>
        <v>209997</v>
      </c>
      <c r="C27" s="3"/>
      <c r="D27" s="3"/>
      <c r="E27" s="3"/>
    </row>
    <row r="28" spans="1:5">
      <c r="A28" s="2">
        <v>46258</v>
      </c>
      <c r="B28" s="3">
        <f>SUMIF(Dataset_Principal!$B$2:$B$51,A28,Dataset_Principal!$F$2:$F$51)</f>
        <v>0</v>
      </c>
      <c r="C28" s="3"/>
      <c r="D28" s="3"/>
      <c r="E28" s="3"/>
    </row>
    <row r="29" spans="1:5">
      <c r="A29" s="2">
        <v>46259</v>
      </c>
      <c r="B29" s="3">
        <f>SUMIF(Dataset_Principal!$B$2:$B$51,A29,Dataset_Principal!$F$2:$F$51)</f>
        <v>49999</v>
      </c>
      <c r="C29" s="3"/>
      <c r="D29" s="3"/>
      <c r="E29" s="3"/>
    </row>
    <row r="30" spans="1:5">
      <c r="A30" s="2">
        <v>46260</v>
      </c>
      <c r="B30" s="3">
        <f>SUMIF(Dataset_Principal!$B$2:$B$51,A30,Dataset_Principal!$F$2:$F$51)</f>
        <v>0</v>
      </c>
      <c r="C30" s="3"/>
      <c r="D30" s="3"/>
      <c r="E30" s="3"/>
    </row>
    <row r="31" spans="1:5">
      <c r="A31" s="2">
        <v>46261</v>
      </c>
      <c r="B31" s="3">
        <f>SUMIF(Dataset_Principal!$B$2:$B$51,A31,Dataset_Principal!$F$2:$F$51)</f>
        <v>79998</v>
      </c>
      <c r="C31" s="3"/>
      <c r="D31" s="3"/>
      <c r="E31" s="3"/>
    </row>
    <row r="32" spans="1:5">
      <c r="A32" s="2">
        <v>46262</v>
      </c>
      <c r="B32" s="3">
        <f>SUMIF(Dataset_Principal!$B$2:$B$51,A32,Dataset_Principal!$F$2:$F$51)</f>
        <v>14999</v>
      </c>
      <c r="C32" s="3"/>
      <c r="D32" s="3"/>
      <c r="E32" s="3"/>
    </row>
    <row r="33" spans="1:5">
      <c r="A33" s="2">
        <v>46263</v>
      </c>
      <c r="B33" s="3">
        <f>SUMIF(Dataset_Principal!$B$2:$B$51,A33,Dataset_Principal!$F$2:$F$51)</f>
        <v>89997</v>
      </c>
      <c r="C33" s="3"/>
      <c r="D33" s="3"/>
      <c r="E33" s="3"/>
    </row>
    <row r="34" spans="1:5">
      <c r="A34" s="2">
        <v>46264</v>
      </c>
      <c r="B34" s="3">
        <f>SUMIF(Dataset_Principal!$B$2:$B$51,A34,Dataset_Principal!$F$2:$F$51)</f>
        <v>99998</v>
      </c>
      <c r="C34" s="3"/>
      <c r="D34" s="3"/>
      <c r="E34" s="3"/>
    </row>
    <row r="35" spans="1:5">
      <c r="A35" s="2">
        <v>46265</v>
      </c>
      <c r="B35" s="3">
        <f>SUMIF(Dataset_Principal!$B$2:$B$51,A35,Dataset_Principal!$F$2:$F$51)</f>
        <v>59998</v>
      </c>
      <c r="C35" s="3"/>
      <c r="D35" s="3"/>
      <c r="E35" s="3"/>
    </row>
    <row r="36" spans="1:5">
      <c r="A36" s="2">
        <v>46266</v>
      </c>
      <c r="B36" s="3"/>
      <c r="C36" s="3">
        <f>FORECAST(A36,$B$5:$B$35,$A$5:$A$35)</f>
        <v>76224.06451612711</v>
      </c>
      <c r="D36" s="3">
        <f>MAX(0,C36-1.96*STDEV($B$5:$B$35))</f>
        <v>0</v>
      </c>
      <c r="E36" s="3">
        <f>C36+1.96*STDEV($B$5:$B$35)</f>
        <v>226012.28117890129</v>
      </c>
    </row>
    <row r="37" spans="1:5">
      <c r="A37" s="2">
        <v>46267</v>
      </c>
      <c r="B37" s="3"/>
      <c r="C37" s="3">
        <f>FORECAST(A37,$B$5:$B$35,$A$5:$A$35)</f>
        <v>74455.943548381329</v>
      </c>
      <c r="D37" s="3">
        <f>MAX(0,C37-1.96*STDEV($B$5:$B$35))</f>
        <v>0</v>
      </c>
      <c r="E37" s="3">
        <f>C37+1.96*STDEV($B$5:$B$35)</f>
        <v>224244.16021115551</v>
      </c>
    </row>
    <row r="38" spans="1:5">
      <c r="A38" s="2">
        <v>46268</v>
      </c>
      <c r="B38" s="3"/>
      <c r="C38" s="3">
        <f>FORECAST(A38,$B$5:$B$35,$A$5:$A$35)</f>
        <v>72687.822580635548</v>
      </c>
      <c r="D38" s="3">
        <f>MAX(0,C38-1.96*STDEV($B$5:$B$35))</f>
        <v>0</v>
      </c>
      <c r="E38" s="3">
        <f>C38+1.96*STDEV($B$5:$B$35)</f>
        <v>222476.03924340973</v>
      </c>
    </row>
  </sheetData>
  <mergeCells count="2">
    <mergeCell ref="A2:E2"/>
    <mergeCell ref="A1:E1"/>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B8"/>
  <sheetViews>
    <sheetView showGridLines="0" workbookViewId="0">
      <selection activeCell="B4" sqref="B4"/>
    </sheetView>
  </sheetViews>
  <sheetFormatPr baseColWidth="10" defaultColWidth="8.796875" defaultRowHeight="13.8"/>
  <cols>
    <col min="1" max="1" width="25" customWidth="1"/>
    <col min="2" max="2" width="28" customWidth="1"/>
  </cols>
  <sheetData>
    <row r="1" spans="1:2" ht="17.399999999999999">
      <c r="A1" s="7" t="s">
        <v>86</v>
      </c>
    </row>
    <row r="3" spans="1:2">
      <c r="A3" t="s">
        <v>87</v>
      </c>
      <c r="B3" s="29" t="s">
        <v>7</v>
      </c>
    </row>
    <row r="5" spans="1:2">
      <c r="A5" s="8" t="s">
        <v>88</v>
      </c>
      <c r="B5" s="30" t="str">
        <f>_xlfn.XLOOKUP(B3,Cat_Juegos!$A$2:$A$11,Cat_Juegos!$B$2:$B$11,"No encontrado")</f>
        <v>Super Mario Bros. Wonder</v>
      </c>
    </row>
    <row r="6" spans="1:2">
      <c r="A6" s="8" t="s">
        <v>89</v>
      </c>
      <c r="B6" s="30" t="str">
        <f>_xlfn.XLOOKUP(B3,Cat_Juegos!$A$2:$A$11,Cat_Juegos!$C$2:$C$11,"No encontrado")</f>
        <v>Plataformas</v>
      </c>
    </row>
    <row r="7" spans="1:2">
      <c r="A7" s="8" t="s">
        <v>90</v>
      </c>
      <c r="B7" s="30" t="str">
        <f>_xlfn.XLOOKUP(B3,Cat_Juegos!$A$2:$A$11,Cat_Juegos!$D$2:$D$11,"No encontrado")</f>
        <v>Nintendo Switch</v>
      </c>
    </row>
    <row r="8" spans="1:2">
      <c r="A8" s="8" t="s">
        <v>91</v>
      </c>
      <c r="B8" s="31">
        <f>_xlfn.XLOOKUP(B3,Cat_Juegos!$A$2:$A$11,Cat_Juegos!$E$2:$E$11,"No encontrado")</f>
        <v>59999</v>
      </c>
    </row>
  </sheetData>
  <sheetProtection password="CE38" sheet="1"/>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6"/>
  <sheetViews>
    <sheetView showGridLines="0" workbookViewId="0"/>
  </sheetViews>
  <sheetFormatPr baseColWidth="10" defaultColWidth="8.796875" defaultRowHeight="13.8"/>
  <cols>
    <col min="1" max="1" width="105" customWidth="1"/>
  </cols>
  <sheetData>
    <row r="1" spans="1:1" ht="17.399999999999999">
      <c r="A1" s="7" t="s">
        <v>92</v>
      </c>
    </row>
    <row r="3" spans="1:1" ht="45" customHeight="1">
      <c r="A3" s="9" t="s">
        <v>93</v>
      </c>
    </row>
    <row r="4" spans="1:1" ht="45" customHeight="1">
      <c r="A4" s="9" t="s">
        <v>94</v>
      </c>
    </row>
    <row r="5" spans="1:1" ht="45" customHeight="1">
      <c r="A5" s="9" t="s">
        <v>95</v>
      </c>
    </row>
    <row r="6" spans="1:1" ht="45" customHeight="1">
      <c r="A6" s="9" t="s">
        <v>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11"/>
  <sheetViews>
    <sheetView workbookViewId="0"/>
  </sheetViews>
  <sheetFormatPr baseColWidth="10" defaultColWidth="8.796875" defaultRowHeight="13.8"/>
  <cols>
    <col min="1" max="1" width="13" customWidth="1"/>
    <col min="2" max="2" width="26" customWidth="1"/>
    <col min="3" max="3" width="18" customWidth="1"/>
    <col min="4" max="4" width="20" customWidth="1"/>
    <col min="5" max="5" width="18" customWidth="1"/>
  </cols>
  <sheetData>
    <row r="1" spans="1:5">
      <c r="A1" s="1" t="s">
        <v>2</v>
      </c>
      <c r="B1" s="1" t="s">
        <v>97</v>
      </c>
      <c r="C1" s="1" t="s">
        <v>98</v>
      </c>
      <c r="D1" s="1" t="s">
        <v>99</v>
      </c>
      <c r="E1" s="1" t="s">
        <v>100</v>
      </c>
    </row>
    <row r="2" spans="1:5">
      <c r="A2" t="s">
        <v>54</v>
      </c>
      <c r="B2" t="s">
        <v>101</v>
      </c>
      <c r="C2" t="s">
        <v>102</v>
      </c>
      <c r="D2" t="s">
        <v>103</v>
      </c>
      <c r="E2" s="3">
        <v>29999</v>
      </c>
    </row>
    <row r="3" spans="1:5">
      <c r="A3" t="s">
        <v>31</v>
      </c>
      <c r="B3" t="s">
        <v>104</v>
      </c>
      <c r="C3" t="s">
        <v>105</v>
      </c>
      <c r="D3" t="s">
        <v>106</v>
      </c>
      <c r="E3" s="3">
        <v>69999</v>
      </c>
    </row>
    <row r="4" spans="1:5">
      <c r="A4" t="s">
        <v>39</v>
      </c>
      <c r="B4" t="s">
        <v>107</v>
      </c>
      <c r="C4" t="s">
        <v>108</v>
      </c>
      <c r="D4" t="s">
        <v>109</v>
      </c>
      <c r="E4" s="3">
        <v>59999</v>
      </c>
    </row>
    <row r="5" spans="1:5">
      <c r="A5" t="s">
        <v>25</v>
      </c>
      <c r="B5" t="s">
        <v>110</v>
      </c>
      <c r="C5" t="s">
        <v>111</v>
      </c>
      <c r="D5" t="s">
        <v>103</v>
      </c>
      <c r="E5" s="3">
        <v>0</v>
      </c>
    </row>
    <row r="6" spans="1:5">
      <c r="A6" t="s">
        <v>48</v>
      </c>
      <c r="B6" t="s">
        <v>112</v>
      </c>
      <c r="C6" t="s">
        <v>113</v>
      </c>
      <c r="D6" t="s">
        <v>103</v>
      </c>
      <c r="E6" s="3">
        <v>0</v>
      </c>
    </row>
    <row r="7" spans="1:5">
      <c r="A7" t="s">
        <v>23</v>
      </c>
      <c r="B7" t="s">
        <v>114</v>
      </c>
      <c r="C7" t="s">
        <v>115</v>
      </c>
      <c r="D7" t="s">
        <v>106</v>
      </c>
      <c r="E7" s="3">
        <v>39999</v>
      </c>
    </row>
    <row r="8" spans="1:5">
      <c r="A8" t="s">
        <v>13</v>
      </c>
      <c r="B8" t="s">
        <v>116</v>
      </c>
      <c r="C8" t="s">
        <v>117</v>
      </c>
      <c r="D8" t="s">
        <v>106</v>
      </c>
      <c r="E8" s="3">
        <v>49999</v>
      </c>
    </row>
    <row r="9" spans="1:5">
      <c r="A9" t="s">
        <v>7</v>
      </c>
      <c r="B9" t="s">
        <v>118</v>
      </c>
      <c r="C9" t="s">
        <v>119</v>
      </c>
      <c r="D9" t="s">
        <v>109</v>
      </c>
      <c r="E9" s="3">
        <v>59999</v>
      </c>
    </row>
    <row r="10" spans="1:5">
      <c r="A10" t="s">
        <v>10</v>
      </c>
      <c r="B10" t="s">
        <v>120</v>
      </c>
      <c r="C10" t="s">
        <v>108</v>
      </c>
      <c r="D10" t="s">
        <v>121</v>
      </c>
      <c r="E10" s="3">
        <v>44999</v>
      </c>
    </row>
    <row r="11" spans="1:5">
      <c r="A11" t="s">
        <v>20</v>
      </c>
      <c r="B11" t="s">
        <v>122</v>
      </c>
      <c r="C11" t="s">
        <v>113</v>
      </c>
      <c r="D11" t="s">
        <v>103</v>
      </c>
      <c r="E11" s="3">
        <v>14999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C11"/>
  <sheetViews>
    <sheetView workbookViewId="0">
      <selection activeCell="C11" sqref="C11"/>
    </sheetView>
  </sheetViews>
  <sheetFormatPr baseColWidth="10" defaultColWidth="8.796875" defaultRowHeight="13.8"/>
  <cols>
    <col min="1" max="1" width="13" customWidth="1"/>
    <col min="2" max="2" width="18" customWidth="1"/>
    <col min="3" max="3" width="20" customWidth="1"/>
  </cols>
  <sheetData>
    <row r="1" spans="1:3">
      <c r="A1" s="1" t="s">
        <v>3</v>
      </c>
      <c r="B1" s="1" t="s">
        <v>123</v>
      </c>
      <c r="C1" s="1" t="s">
        <v>124</v>
      </c>
    </row>
    <row r="2" spans="1:3">
      <c r="A2" t="s">
        <v>14</v>
      </c>
      <c r="B2" t="s">
        <v>125</v>
      </c>
      <c r="C2" t="s">
        <v>126</v>
      </c>
    </row>
    <row r="3" spans="1:3">
      <c r="A3" t="s">
        <v>27</v>
      </c>
      <c r="B3" t="s">
        <v>127</v>
      </c>
      <c r="C3" t="s">
        <v>128</v>
      </c>
    </row>
    <row r="4" spans="1:3">
      <c r="A4" t="s">
        <v>21</v>
      </c>
      <c r="B4" t="s">
        <v>129</v>
      </c>
      <c r="C4" t="s">
        <v>130</v>
      </c>
    </row>
    <row r="5" spans="1:3">
      <c r="A5" t="s">
        <v>33</v>
      </c>
      <c r="B5" t="s">
        <v>131</v>
      </c>
      <c r="C5" t="s">
        <v>132</v>
      </c>
    </row>
    <row r="6" spans="1:3">
      <c r="A6" t="s">
        <v>8</v>
      </c>
      <c r="B6" t="s">
        <v>133</v>
      </c>
      <c r="C6" t="s">
        <v>126</v>
      </c>
    </row>
    <row r="7" spans="1:3">
      <c r="A7" t="s">
        <v>11</v>
      </c>
      <c r="B7" t="s">
        <v>134</v>
      </c>
      <c r="C7" t="s">
        <v>135</v>
      </c>
    </row>
    <row r="8" spans="1:3">
      <c r="A8" t="s">
        <v>29</v>
      </c>
      <c r="B8" t="s">
        <v>136</v>
      </c>
      <c r="C8" t="s">
        <v>137</v>
      </c>
    </row>
    <row r="9" spans="1:3">
      <c r="A9" t="s">
        <v>35</v>
      </c>
      <c r="B9" t="s">
        <v>138</v>
      </c>
      <c r="C9" t="s">
        <v>139</v>
      </c>
    </row>
    <row r="10" spans="1:3">
      <c r="A10" t="s">
        <v>41</v>
      </c>
      <c r="B10" t="s">
        <v>140</v>
      </c>
      <c r="C10" t="s">
        <v>141</v>
      </c>
    </row>
    <row r="11" spans="1:3">
      <c r="A11" t="s">
        <v>17</v>
      </c>
      <c r="B11" t="s">
        <v>142</v>
      </c>
      <c r="C11" t="s">
        <v>143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H34"/>
  <sheetViews>
    <sheetView workbookViewId="0">
      <selection sqref="A1:H1"/>
    </sheetView>
  </sheetViews>
  <sheetFormatPr baseColWidth="10" defaultColWidth="8.796875" defaultRowHeight="13.8"/>
  <cols>
    <col min="1" max="1" width="24" customWidth="1"/>
    <col min="2" max="2" width="48" customWidth="1"/>
    <col min="3" max="3" width="16" customWidth="1"/>
    <col min="4" max="4" width="4" customWidth="1"/>
    <col min="5" max="5" width="18" customWidth="1"/>
    <col min="6" max="6" width="14" customWidth="1"/>
    <col min="7" max="8" width="18" customWidth="1"/>
  </cols>
  <sheetData>
    <row r="1" spans="1:8" ht="17.850000000000001" customHeight="1">
      <c r="A1" s="78" t="s">
        <v>144</v>
      </c>
      <c r="B1" s="78"/>
      <c r="C1" s="78"/>
      <c r="D1" s="78"/>
      <c r="E1" s="78"/>
      <c r="F1" s="78"/>
      <c r="G1" s="78"/>
      <c r="H1" s="78"/>
    </row>
    <row r="2" spans="1:8" ht="14.4">
      <c r="A2" s="79" t="s">
        <v>145</v>
      </c>
      <c r="B2" s="79"/>
      <c r="C2" s="79"/>
      <c r="D2" s="79"/>
      <c r="E2" s="79"/>
      <c r="F2" s="79"/>
      <c r="G2" s="80"/>
      <c r="H2" s="80"/>
    </row>
    <row r="3" spans="1:8" ht="14.4">
      <c r="A3" s="13"/>
      <c r="B3" s="13"/>
      <c r="C3" s="13"/>
      <c r="D3" s="13"/>
      <c r="E3" s="13"/>
      <c r="F3" s="13"/>
      <c r="G3" s="10"/>
      <c r="H3" s="10"/>
    </row>
    <row r="4" spans="1:8" ht="14.4">
      <c r="A4" s="11" t="s">
        <v>146</v>
      </c>
      <c r="B4" s="11" t="s">
        <v>147</v>
      </c>
      <c r="C4" s="13"/>
      <c r="D4" s="13"/>
      <c r="E4" s="13"/>
      <c r="F4" s="13"/>
      <c r="G4" s="10"/>
      <c r="H4" s="10"/>
    </row>
    <row r="5" spans="1:8" ht="14.4">
      <c r="A5" s="13" t="s">
        <v>148</v>
      </c>
      <c r="B5" s="14">
        <f>SUM(Dataset_Principal!F2:F51)</f>
        <v>3239934</v>
      </c>
      <c r="C5" s="13"/>
      <c r="D5" s="13"/>
      <c r="E5" s="13"/>
      <c r="F5" s="13"/>
      <c r="G5" s="10"/>
      <c r="H5" s="10"/>
    </row>
    <row r="6" spans="1:8" ht="14.4">
      <c r="A6" s="13" t="s">
        <v>149</v>
      </c>
      <c r="B6" s="15">
        <f>COUNTA(Dataset_Principal!A2:A51)</f>
        <v>50</v>
      </c>
      <c r="C6" s="13"/>
      <c r="D6" s="13"/>
      <c r="E6" s="13"/>
      <c r="F6" s="13"/>
      <c r="G6" s="10"/>
      <c r="H6" s="10"/>
    </row>
    <row r="7" spans="1:8" ht="14.4">
      <c r="A7" s="13" t="s">
        <v>150</v>
      </c>
      <c r="B7" s="14">
        <f>AVERAGE(Dataset_Principal!F2:F51)</f>
        <v>64798.68</v>
      </c>
      <c r="C7" s="13"/>
      <c r="D7" s="13"/>
      <c r="E7" s="13"/>
      <c r="F7" s="13"/>
      <c r="G7" s="10"/>
      <c r="H7" s="10"/>
    </row>
    <row r="8" spans="1:8" ht="14.4">
      <c r="A8" s="13" t="s">
        <v>151</v>
      </c>
      <c r="B8" s="15">
        <f>COUNTIF(Calculos!E2:E51,"Venta Alta")</f>
        <v>9</v>
      </c>
      <c r="C8" s="13"/>
      <c r="D8" s="13"/>
      <c r="E8" s="13"/>
      <c r="F8" s="13"/>
      <c r="G8" s="10"/>
      <c r="H8" s="10"/>
    </row>
    <row r="9" spans="1:8" ht="14.4">
      <c r="A9" s="13" t="s">
        <v>152</v>
      </c>
      <c r="B9" s="14">
        <f>SUMIF(Dataset_Principal!C2:C51,"J-002",Dataset_Principal!F2:F51)+SUMIF(Dataset_Principal!C2:C51,"J-006",Dataset_Principal!F2:F51)+SUMIF(Dataset_Principal!C2:C51,"J-007",Dataset_Principal!F2:F51)</f>
        <v>1649968</v>
      </c>
      <c r="C9" s="13"/>
      <c r="D9" s="13"/>
      <c r="E9" s="13"/>
      <c r="F9" s="13"/>
      <c r="G9" s="10"/>
      <c r="H9" s="10"/>
    </row>
    <row r="10" spans="1:8" ht="17.399999999999999">
      <c r="A10" s="81" t="s">
        <v>153</v>
      </c>
      <c r="B10" s="81"/>
      <c r="C10" s="81"/>
      <c r="D10" s="81"/>
      <c r="E10" s="81"/>
      <c r="F10" s="81"/>
      <c r="G10" s="82"/>
      <c r="H10" s="82"/>
    </row>
    <row r="11" spans="1:8" ht="20.55" customHeight="1">
      <c r="A11" s="83" t="s">
        <v>154</v>
      </c>
      <c r="B11" s="84" t="s">
        <v>155</v>
      </c>
      <c r="C11" s="84"/>
      <c r="D11" s="84"/>
      <c r="E11" s="84"/>
      <c r="F11" s="84"/>
      <c r="G11" s="84"/>
      <c r="H11" s="84"/>
    </row>
    <row r="12" spans="1:8" ht="20.55" customHeight="1">
      <c r="A12" s="83"/>
      <c r="B12" s="84"/>
      <c r="C12" s="84"/>
      <c r="D12" s="84"/>
      <c r="E12" s="84"/>
      <c r="F12" s="84"/>
      <c r="G12" s="84"/>
      <c r="H12" s="84"/>
    </row>
    <row r="13" spans="1:8" ht="14.4">
      <c r="A13" s="16"/>
      <c r="B13" s="12"/>
      <c r="C13" s="13"/>
      <c r="D13" s="13"/>
      <c r="E13" s="13"/>
      <c r="F13" s="13"/>
      <c r="G13" s="10"/>
      <c r="H13" s="10"/>
    </row>
    <row r="14" spans="1:8" ht="20.55" customHeight="1">
      <c r="A14" s="83" t="s">
        <v>156</v>
      </c>
      <c r="B14" s="84" t="s">
        <v>157</v>
      </c>
      <c r="C14" s="84"/>
      <c r="D14" s="84"/>
      <c r="E14" s="84"/>
      <c r="F14" s="84"/>
      <c r="G14" s="84"/>
      <c r="H14" s="84"/>
    </row>
    <row r="15" spans="1:8" ht="20.55" customHeight="1">
      <c r="A15" s="83"/>
      <c r="B15" s="84"/>
      <c r="C15" s="84"/>
      <c r="D15" s="84"/>
      <c r="E15" s="84"/>
      <c r="F15" s="84"/>
      <c r="G15" s="84"/>
      <c r="H15" s="84"/>
    </row>
    <row r="16" spans="1:8" ht="14.4">
      <c r="A16" s="16"/>
      <c r="B16" s="12"/>
      <c r="C16" s="13"/>
      <c r="D16" s="13"/>
      <c r="E16" s="13"/>
      <c r="F16" s="13"/>
      <c r="G16" s="10"/>
      <c r="H16" s="10"/>
    </row>
    <row r="17" spans="1:8" ht="20.55" customHeight="1">
      <c r="A17" s="83" t="s">
        <v>158</v>
      </c>
      <c r="B17" s="84" t="s">
        <v>159</v>
      </c>
      <c r="C17" s="84"/>
      <c r="D17" s="84"/>
      <c r="E17" s="84"/>
      <c r="F17" s="84"/>
      <c r="G17" s="84"/>
      <c r="H17" s="84"/>
    </row>
    <row r="18" spans="1:8" ht="20.55" customHeight="1">
      <c r="A18" s="83"/>
      <c r="B18" s="84"/>
      <c r="C18" s="84"/>
      <c r="D18" s="84"/>
      <c r="E18" s="84"/>
      <c r="F18" s="84"/>
      <c r="G18" s="84"/>
      <c r="H18" s="84"/>
    </row>
    <row r="19" spans="1:8" ht="14.4">
      <c r="A19" s="16"/>
      <c r="B19" s="12"/>
      <c r="C19" s="13"/>
      <c r="D19" s="13"/>
      <c r="E19" s="13"/>
      <c r="F19" s="13"/>
      <c r="G19" s="10"/>
      <c r="H19" s="10"/>
    </row>
    <row r="20" spans="1:8" ht="20.55" customHeight="1">
      <c r="A20" s="83" t="s">
        <v>160</v>
      </c>
      <c r="B20" s="84" t="s">
        <v>161</v>
      </c>
      <c r="C20" s="84"/>
      <c r="D20" s="84"/>
      <c r="E20" s="84"/>
      <c r="F20" s="84"/>
      <c r="G20" s="84"/>
      <c r="H20" s="84"/>
    </row>
    <row r="21" spans="1:8" ht="20.55" customHeight="1">
      <c r="A21" s="83"/>
      <c r="B21" s="84"/>
      <c r="C21" s="84"/>
      <c r="D21" s="84"/>
      <c r="E21" s="84"/>
      <c r="F21" s="84"/>
      <c r="G21" s="84"/>
      <c r="H21" s="84"/>
    </row>
    <row r="22" spans="1:8" ht="72">
      <c r="A22" s="17" t="s">
        <v>162</v>
      </c>
      <c r="B22" s="17"/>
      <c r="C22" s="17"/>
      <c r="D22" s="17"/>
      <c r="E22" s="17"/>
      <c r="F22" s="17"/>
      <c r="G22" s="10"/>
      <c r="H22" s="10"/>
    </row>
    <row r="23" spans="1:8" ht="14.4">
      <c r="A23" s="13"/>
      <c r="B23" s="13"/>
      <c r="C23" s="13"/>
      <c r="D23" s="13"/>
      <c r="E23" s="13"/>
      <c r="F23" s="13"/>
      <c r="G23" s="10"/>
      <c r="H23" s="10"/>
    </row>
    <row r="24" spans="1:8" ht="14.4">
      <c r="A24" s="11" t="s">
        <v>2</v>
      </c>
      <c r="B24" s="11" t="s">
        <v>97</v>
      </c>
      <c r="C24" s="11" t="s">
        <v>163</v>
      </c>
      <c r="D24" s="13"/>
      <c r="E24" s="11" t="s">
        <v>164</v>
      </c>
      <c r="F24" s="11" t="s">
        <v>165</v>
      </c>
      <c r="G24" s="10"/>
      <c r="H24" s="10"/>
    </row>
    <row r="25" spans="1:8" ht="14.4">
      <c r="A25" s="13" t="s">
        <v>54</v>
      </c>
      <c r="B25" s="13" t="s">
        <v>101</v>
      </c>
      <c r="C25" s="14">
        <f>SUMIF(Dataset_Principal!$C$2:$C$51,A25,Dataset_Principal!$F$2:$F$51)</f>
        <v>239992</v>
      </c>
      <c r="D25" s="13"/>
      <c r="E25" s="13" t="s">
        <v>166</v>
      </c>
      <c r="F25" s="13">
        <f>COUNTIF(Calculos!$E$2:$E$51,E25)</f>
        <v>9</v>
      </c>
      <c r="G25" s="10"/>
      <c r="H25" s="10"/>
    </row>
    <row r="26" spans="1:8" ht="14.4">
      <c r="A26" s="13" t="s">
        <v>31</v>
      </c>
      <c r="B26" s="13" t="s">
        <v>104</v>
      </c>
      <c r="C26" s="14">
        <f>SUMIF(Dataset_Principal!$C$2:$C$51,A26,Dataset_Principal!$F$2:$F$51)</f>
        <v>629991</v>
      </c>
      <c r="D26" s="13"/>
      <c r="E26" s="13" t="s">
        <v>167</v>
      </c>
      <c r="F26" s="13">
        <f>COUNTIF(Calculos!$E$2:$E$51,E26)</f>
        <v>17</v>
      </c>
      <c r="G26" s="10"/>
      <c r="H26" s="10"/>
    </row>
    <row r="27" spans="1:8" ht="14.4">
      <c r="A27" s="13" t="s">
        <v>39</v>
      </c>
      <c r="B27" s="13" t="s">
        <v>107</v>
      </c>
      <c r="C27" s="14">
        <f>SUMIF(Dataset_Principal!$C$2:$C$51,A27,Dataset_Principal!$F$2:$F$51)</f>
        <v>479992</v>
      </c>
      <c r="D27" s="13"/>
      <c r="E27" s="13" t="s">
        <v>168</v>
      </c>
      <c r="F27" s="13">
        <f>COUNTIF(Calculos!$E$2:$E$51,E27)</f>
        <v>24</v>
      </c>
      <c r="G27" s="10"/>
      <c r="H27" s="10"/>
    </row>
    <row r="28" spans="1:8" ht="14.4">
      <c r="A28" s="13" t="s">
        <v>25</v>
      </c>
      <c r="B28" s="13" t="s">
        <v>110</v>
      </c>
      <c r="C28" s="14">
        <f>SUMIF(Dataset_Principal!$C$2:$C$51,A28,Dataset_Principal!$F$2:$F$51)</f>
        <v>0</v>
      </c>
      <c r="D28" s="13"/>
      <c r="E28" s="13"/>
      <c r="F28" s="13"/>
      <c r="G28" s="10"/>
      <c r="H28" s="10"/>
    </row>
    <row r="29" spans="1:8" ht="14.4">
      <c r="A29" s="13" t="s">
        <v>48</v>
      </c>
      <c r="B29" s="13" t="s">
        <v>112</v>
      </c>
      <c r="C29" s="14">
        <f>SUMIF(Dataset_Principal!$C$2:$C$51,A29,Dataset_Principal!$F$2:$F$51)</f>
        <v>0</v>
      </c>
      <c r="D29" s="13"/>
      <c r="E29" s="13"/>
      <c r="F29" s="13"/>
      <c r="G29" s="10"/>
      <c r="H29" s="10"/>
    </row>
    <row r="30" spans="1:8" ht="14.4">
      <c r="A30" s="13" t="s">
        <v>23</v>
      </c>
      <c r="B30" s="13" t="s">
        <v>114</v>
      </c>
      <c r="C30" s="14">
        <f>SUMIF(Dataset_Principal!$C$2:$C$51,A30,Dataset_Principal!$F$2:$F$51)</f>
        <v>519987</v>
      </c>
      <c r="D30" s="13"/>
      <c r="E30" s="13"/>
      <c r="F30" s="13"/>
      <c r="G30" s="10"/>
      <c r="H30" s="10"/>
    </row>
    <row r="31" spans="1:8" ht="14.4">
      <c r="A31" s="13" t="s">
        <v>13</v>
      </c>
      <c r="B31" s="13" t="s">
        <v>116</v>
      </c>
      <c r="C31" s="14">
        <f>SUMIF(Dataset_Principal!$C$2:$C$51,A31,Dataset_Principal!$F$2:$F$51)</f>
        <v>499990</v>
      </c>
      <c r="D31" s="13"/>
      <c r="E31" s="13"/>
      <c r="F31" s="13"/>
      <c r="G31" s="10"/>
      <c r="H31" s="10"/>
    </row>
    <row r="32" spans="1:8" ht="14.4">
      <c r="A32" s="13" t="s">
        <v>7</v>
      </c>
      <c r="B32" s="13" t="s">
        <v>118</v>
      </c>
      <c r="C32" s="14">
        <f>SUMIF(Dataset_Principal!$C$2:$C$51,A32,Dataset_Principal!$F$2:$F$51)</f>
        <v>479992</v>
      </c>
      <c r="D32" s="13"/>
      <c r="E32" s="13"/>
      <c r="F32" s="13"/>
      <c r="G32" s="10"/>
      <c r="H32" s="10"/>
    </row>
    <row r="33" spans="1:8" ht="14.4">
      <c r="A33" s="13" t="s">
        <v>10</v>
      </c>
      <c r="B33" s="13" t="s">
        <v>120</v>
      </c>
      <c r="C33" s="14">
        <f>SUMIF(Dataset_Principal!$C$2:$C$51,A33,Dataset_Principal!$F$2:$F$51)</f>
        <v>359992</v>
      </c>
      <c r="D33" s="13"/>
      <c r="E33" s="13"/>
      <c r="F33" s="13"/>
      <c r="G33" s="10"/>
      <c r="H33" s="10"/>
    </row>
    <row r="34" spans="1:8" ht="14.4">
      <c r="A34" s="13" t="s">
        <v>20</v>
      </c>
      <c r="B34" s="13" t="s">
        <v>122</v>
      </c>
      <c r="C34" s="14">
        <f>SUMIF(Dataset_Principal!$C$2:$C$51,A34,Dataset_Principal!$F$2:$F$51)</f>
        <v>29998</v>
      </c>
      <c r="D34" s="13"/>
      <c r="E34" s="13"/>
      <c r="F34" s="13"/>
      <c r="G34" s="10"/>
      <c r="H34" s="10"/>
    </row>
  </sheetData>
  <mergeCells count="11">
    <mergeCell ref="A14:A15"/>
    <mergeCell ref="B14:H15"/>
    <mergeCell ref="A17:A18"/>
    <mergeCell ref="B17:H18"/>
    <mergeCell ref="A20:A21"/>
    <mergeCell ref="B20:H21"/>
    <mergeCell ref="A1:H1"/>
    <mergeCell ref="A2:H2"/>
    <mergeCell ref="A10:H10"/>
    <mergeCell ref="A11:A12"/>
    <mergeCell ref="B11:H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F35"/>
  <sheetViews>
    <sheetView workbookViewId="0">
      <selection activeCell="D4" sqref="D4"/>
    </sheetView>
  </sheetViews>
  <sheetFormatPr baseColWidth="10" defaultColWidth="8.796875" defaultRowHeight="13.8"/>
  <cols>
    <col min="1" max="1" width="25" customWidth="1"/>
    <col min="2" max="2" width="31" customWidth="1"/>
    <col min="3" max="3" width="23" customWidth="1"/>
    <col min="4" max="4" width="25" customWidth="1"/>
    <col min="5" max="5" width="21" customWidth="1"/>
    <col min="6" max="6" width="23" customWidth="1"/>
  </cols>
  <sheetData>
    <row r="1" spans="1:6" ht="17.399999999999999">
      <c r="A1" s="85" t="s">
        <v>169</v>
      </c>
      <c r="B1" s="85"/>
      <c r="C1" s="85"/>
      <c r="D1" s="85"/>
      <c r="E1" s="85"/>
      <c r="F1" s="85"/>
    </row>
    <row r="2" spans="1:6">
      <c r="A2" s="20" t="s">
        <v>99</v>
      </c>
      <c r="B2" s="20" t="s">
        <v>101</v>
      </c>
      <c r="C2" s="20" t="s">
        <v>104</v>
      </c>
      <c r="D2" s="20" t="s">
        <v>170</v>
      </c>
      <c r="E2" s="20" t="s">
        <v>116</v>
      </c>
      <c r="F2" s="20" t="s">
        <v>122</v>
      </c>
    </row>
    <row r="3" spans="1:6">
      <c r="A3" s="4" t="s">
        <v>103</v>
      </c>
      <c r="B3" s="24">
        <v>29999</v>
      </c>
      <c r="C3" s="24"/>
      <c r="D3" s="24"/>
      <c r="E3" s="24"/>
      <c r="F3" s="24">
        <v>14999</v>
      </c>
    </row>
    <row r="4" spans="1:6">
      <c r="A4" s="4" t="s">
        <v>106</v>
      </c>
      <c r="B4" s="24"/>
      <c r="C4" s="24">
        <v>69999</v>
      </c>
      <c r="D4" s="24">
        <v>39999</v>
      </c>
      <c r="E4" s="24">
        <v>49999</v>
      </c>
      <c r="F4" s="24"/>
    </row>
    <row r="5" spans="1:6">
      <c r="A5" s="4" t="s">
        <v>109</v>
      </c>
      <c r="B5" s="24"/>
      <c r="C5" s="24"/>
      <c r="D5" s="24"/>
      <c r="E5" s="24"/>
      <c r="F5" s="24"/>
    </row>
    <row r="6" spans="1:6">
      <c r="A6" s="4" t="s">
        <v>121</v>
      </c>
      <c r="B6" s="24"/>
      <c r="C6" s="24"/>
      <c r="D6" s="24"/>
      <c r="E6" s="24"/>
      <c r="F6" s="24"/>
    </row>
    <row r="7" spans="1:6">
      <c r="A7" s="4"/>
      <c r="B7" s="4"/>
      <c r="C7" s="4"/>
      <c r="D7" s="4"/>
      <c r="E7" s="4"/>
      <c r="F7" s="4"/>
    </row>
    <row r="8" spans="1:6" ht="27.6">
      <c r="A8" s="4" t="s">
        <v>171</v>
      </c>
      <c r="B8" s="4" t="s">
        <v>172</v>
      </c>
      <c r="C8" s="4"/>
      <c r="D8" s="4"/>
      <c r="E8" s="4"/>
      <c r="F8" s="4"/>
    </row>
    <row r="9" spans="1:6" ht="41.4">
      <c r="A9" s="4" t="s">
        <v>173</v>
      </c>
      <c r="B9" s="4" t="s">
        <v>174</v>
      </c>
      <c r="C9" s="4"/>
      <c r="D9" s="4"/>
      <c r="E9" s="4"/>
      <c r="F9" s="4"/>
    </row>
    <row r="10" spans="1:6" ht="41.4">
      <c r="A10" s="4" t="s">
        <v>175</v>
      </c>
      <c r="B10" s="4" t="s">
        <v>176</v>
      </c>
      <c r="C10" s="4"/>
      <c r="D10" s="4"/>
      <c r="E10" s="4"/>
      <c r="F10" s="4"/>
    </row>
    <row r="11" spans="1:6">
      <c r="A11" s="4"/>
      <c r="B11" s="4"/>
      <c r="C11" s="4"/>
      <c r="D11" s="4"/>
      <c r="E11" s="4"/>
      <c r="F11" s="4"/>
    </row>
    <row r="12" spans="1:6">
      <c r="A12" s="4"/>
      <c r="B12" s="4"/>
      <c r="C12" s="4"/>
      <c r="D12" s="4"/>
      <c r="E12" s="4"/>
      <c r="F12" s="4"/>
    </row>
    <row r="13" spans="1:6">
      <c r="A13" s="4"/>
      <c r="B13" s="4"/>
      <c r="C13" s="4"/>
      <c r="D13" s="4"/>
      <c r="E13" s="4"/>
      <c r="F13" s="4"/>
    </row>
    <row r="14" spans="1:6">
      <c r="A14" s="4"/>
      <c r="B14" s="4"/>
      <c r="C14" s="4"/>
      <c r="D14" s="4"/>
      <c r="E14" s="4"/>
      <c r="F14" s="4"/>
    </row>
    <row r="15" spans="1:6">
      <c r="A15" s="4"/>
      <c r="B15" s="4"/>
      <c r="C15" s="4"/>
      <c r="D15" s="4"/>
      <c r="E15" s="4"/>
      <c r="F15" s="4"/>
    </row>
    <row r="16" spans="1:6">
      <c r="A16" s="4"/>
      <c r="B16" s="4"/>
      <c r="C16" s="4"/>
      <c r="D16" s="4"/>
      <c r="E16" s="4"/>
      <c r="F16" s="4"/>
    </row>
    <row r="17" spans="1:6">
      <c r="A17" s="4"/>
      <c r="B17" s="4"/>
      <c r="C17" s="4"/>
      <c r="D17" s="4"/>
      <c r="E17" s="4"/>
      <c r="F17" s="4"/>
    </row>
    <row r="18" spans="1:6">
      <c r="A18" s="4"/>
      <c r="B18" s="4"/>
      <c r="C18" s="4"/>
      <c r="D18" s="4"/>
      <c r="E18" s="4"/>
      <c r="F18" s="4"/>
    </row>
    <row r="19" spans="1:6">
      <c r="A19" s="4"/>
      <c r="B19" s="4"/>
      <c r="C19" s="4"/>
      <c r="D19" s="4"/>
      <c r="E19" s="4"/>
      <c r="F19" s="4"/>
    </row>
    <row r="20" spans="1:6">
      <c r="A20" s="4"/>
      <c r="B20" s="4"/>
      <c r="C20" s="4"/>
      <c r="D20" s="4"/>
      <c r="E20" s="4"/>
      <c r="F20" s="4"/>
    </row>
    <row r="21" spans="1:6">
      <c r="A21" s="4"/>
      <c r="B21" s="4"/>
      <c r="C21" s="4"/>
      <c r="D21" s="4"/>
      <c r="E21" s="4"/>
      <c r="F21" s="4"/>
    </row>
    <row r="22" spans="1:6">
      <c r="A22" s="4"/>
      <c r="B22" s="4"/>
      <c r="C22" s="4"/>
      <c r="D22" s="4"/>
      <c r="E22" s="4"/>
      <c r="F22" s="4"/>
    </row>
    <row r="23" spans="1:6">
      <c r="A23" s="4"/>
      <c r="B23" s="4"/>
      <c r="C23" s="4"/>
      <c r="D23" s="4"/>
      <c r="E23" s="4"/>
      <c r="F23" s="4"/>
    </row>
    <row r="24" spans="1:6">
      <c r="A24" s="4"/>
      <c r="B24" s="4"/>
      <c r="C24" s="4"/>
      <c r="D24" s="4"/>
      <c r="E24" s="4"/>
      <c r="F24" s="4"/>
    </row>
    <row r="25" spans="1:6">
      <c r="A25" s="4"/>
      <c r="B25" s="4"/>
      <c r="C25" s="4"/>
      <c r="D25" s="4"/>
      <c r="E25" s="4"/>
      <c r="F25" s="4"/>
    </row>
    <row r="26" spans="1:6">
      <c r="A26" s="4"/>
      <c r="B26" s="4"/>
      <c r="C26" s="4"/>
      <c r="D26" s="4"/>
      <c r="E26" s="4"/>
      <c r="F26" s="4"/>
    </row>
    <row r="27" spans="1:6">
      <c r="A27" s="4"/>
      <c r="B27" s="4"/>
      <c r="C27" s="4"/>
      <c r="D27" s="4"/>
      <c r="E27" s="4"/>
      <c r="F27" s="4"/>
    </row>
    <row r="28" spans="1:6">
      <c r="A28" s="4"/>
      <c r="B28" s="4"/>
      <c r="C28" s="4"/>
      <c r="D28" s="4"/>
      <c r="E28" s="4"/>
      <c r="F28" s="4"/>
    </row>
    <row r="29" spans="1:6">
      <c r="A29" s="4"/>
      <c r="B29" s="4"/>
      <c r="C29" s="4"/>
      <c r="D29" s="4"/>
      <c r="E29" s="4"/>
      <c r="F29" s="4"/>
    </row>
    <row r="30" spans="1:6">
      <c r="A30" s="4"/>
      <c r="B30" s="4"/>
      <c r="C30" s="4"/>
      <c r="D30" s="4"/>
      <c r="E30" s="4"/>
      <c r="F30" s="4"/>
    </row>
    <row r="31" spans="1:6">
      <c r="A31" s="4"/>
      <c r="B31" s="4"/>
      <c r="C31" s="4"/>
      <c r="D31" s="4"/>
      <c r="E31" s="4"/>
      <c r="F31" s="4"/>
    </row>
    <row r="32" spans="1:6">
      <c r="A32" s="4"/>
      <c r="B32" s="4"/>
      <c r="C32" s="4"/>
      <c r="D32" s="4"/>
      <c r="E32" s="4"/>
      <c r="F32" s="4"/>
    </row>
    <row r="33" spans="1:6">
      <c r="A33" s="4"/>
      <c r="B33" s="4"/>
      <c r="C33" s="4"/>
      <c r="D33" s="4"/>
      <c r="E33" s="4"/>
      <c r="F33" s="4"/>
    </row>
    <row r="34" spans="1:6">
      <c r="A34" s="4"/>
      <c r="B34" s="4"/>
      <c r="C34" s="4"/>
      <c r="D34" s="4"/>
      <c r="E34" s="4"/>
      <c r="F34" s="4"/>
    </row>
    <row r="35" spans="1:6">
      <c r="A35" s="4"/>
      <c r="B35" s="4"/>
      <c r="C35" s="4"/>
      <c r="D35" s="4"/>
      <c r="E35" s="4"/>
      <c r="F35" s="4"/>
    </row>
  </sheetData>
  <mergeCells count="1">
    <mergeCell ref="A1:F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F35"/>
  <sheetViews>
    <sheetView workbookViewId="0">
      <selection activeCell="B5" sqref="B5"/>
    </sheetView>
  </sheetViews>
  <sheetFormatPr baseColWidth="10" defaultColWidth="8.796875" defaultRowHeight="13.8"/>
  <cols>
    <col min="1" max="1" width="25" customWidth="1"/>
    <col min="2" max="2" width="31" customWidth="1"/>
    <col min="3" max="3" width="23" customWidth="1"/>
    <col min="4" max="4" width="25" customWidth="1"/>
    <col min="5" max="5" width="21" customWidth="1"/>
    <col min="6" max="6" width="23" customWidth="1"/>
  </cols>
  <sheetData>
    <row r="1" spans="1:6" ht="17.399999999999999">
      <c r="A1" s="85" t="s">
        <v>177</v>
      </c>
      <c r="B1" s="85"/>
      <c r="C1" s="85"/>
      <c r="D1" s="85"/>
      <c r="E1" s="18"/>
      <c r="F1" s="18"/>
    </row>
    <row r="2" spans="1:6">
      <c r="A2" s="4"/>
      <c r="B2" s="4"/>
      <c r="C2" s="4"/>
      <c r="D2" s="4"/>
      <c r="E2" s="4"/>
      <c r="F2" s="4"/>
    </row>
    <row r="3" spans="1:6">
      <c r="A3" s="21" t="s">
        <v>99</v>
      </c>
      <c r="B3" s="22" t="s">
        <v>106</v>
      </c>
      <c r="C3" s="4"/>
      <c r="D3" s="4"/>
      <c r="E3" s="4"/>
      <c r="F3" s="4"/>
    </row>
    <row r="4" spans="1:6">
      <c r="A4" s="21" t="s">
        <v>97</v>
      </c>
      <c r="B4" s="22" t="s">
        <v>116</v>
      </c>
      <c r="C4" s="4"/>
      <c r="D4" s="4"/>
      <c r="E4" s="4"/>
      <c r="F4" s="4"/>
    </row>
    <row r="5" spans="1:6">
      <c r="A5" s="21" t="s">
        <v>178</v>
      </c>
      <c r="B5" s="25">
        <f>IFERROR(INDEX(Matriz_Precios!$B$3:$F$6,MATCH(B3,Matriz_Precios!$A$3:$A$6,0),MATCH(B4,Matriz_Precios!$B$2:$F$2,0)),"No disponible")</f>
        <v>49999</v>
      </c>
      <c r="C5" s="4"/>
      <c r="D5" s="4"/>
      <c r="E5" s="4"/>
      <c r="F5" s="4"/>
    </row>
    <row r="6" spans="1:6" ht="41.4">
      <c r="A6" s="21" t="s">
        <v>179</v>
      </c>
      <c r="B6" s="4" t="s">
        <v>180</v>
      </c>
      <c r="C6" s="4"/>
      <c r="D6" s="4"/>
      <c r="E6" s="4"/>
      <c r="F6" s="4"/>
    </row>
    <row r="7" spans="1:6">
      <c r="A7" s="4"/>
      <c r="B7" s="4"/>
      <c r="C7" s="4"/>
      <c r="D7" s="4"/>
      <c r="E7" s="4"/>
      <c r="F7" s="4"/>
    </row>
    <row r="8" spans="1:6">
      <c r="A8" s="4" t="s">
        <v>181</v>
      </c>
      <c r="B8" s="4" t="s">
        <v>182</v>
      </c>
      <c r="C8" s="4"/>
      <c r="D8" s="4"/>
      <c r="E8" s="4"/>
      <c r="F8" s="4"/>
    </row>
    <row r="9" spans="1:6" ht="41.4">
      <c r="A9" s="4" t="s">
        <v>183</v>
      </c>
      <c r="B9" s="4" t="s">
        <v>184</v>
      </c>
      <c r="C9" s="4"/>
      <c r="D9" s="4"/>
      <c r="E9" s="4"/>
      <c r="F9" s="4"/>
    </row>
    <row r="10" spans="1:6">
      <c r="A10" s="4"/>
      <c r="B10" s="4"/>
      <c r="C10" s="4"/>
      <c r="D10" s="4"/>
      <c r="E10" s="4"/>
      <c r="F10" s="4"/>
    </row>
    <row r="11" spans="1:6">
      <c r="A11" s="4"/>
      <c r="B11" s="4"/>
      <c r="C11" s="4"/>
      <c r="D11" s="4"/>
      <c r="E11" s="4"/>
      <c r="F11" s="4"/>
    </row>
    <row r="12" spans="1:6">
      <c r="A12" s="4"/>
      <c r="B12" s="4"/>
      <c r="C12" s="4"/>
      <c r="D12" s="4"/>
      <c r="E12" s="4"/>
      <c r="F12" s="4"/>
    </row>
    <row r="13" spans="1:6">
      <c r="A13" s="4"/>
      <c r="B13" s="4"/>
      <c r="C13" s="4"/>
      <c r="D13" s="4"/>
      <c r="E13" s="4"/>
      <c r="F13" s="4"/>
    </row>
    <row r="14" spans="1:6">
      <c r="A14" s="4"/>
      <c r="B14" s="4"/>
      <c r="C14" s="4"/>
      <c r="D14" s="4"/>
      <c r="E14" s="4"/>
      <c r="F14" s="4"/>
    </row>
    <row r="15" spans="1:6">
      <c r="A15" s="4"/>
      <c r="B15" s="4"/>
      <c r="C15" s="4"/>
      <c r="D15" s="4"/>
      <c r="E15" s="4"/>
      <c r="F15" s="4"/>
    </row>
    <row r="16" spans="1:6">
      <c r="A16" s="4"/>
      <c r="B16" s="4"/>
      <c r="C16" s="4"/>
      <c r="D16" s="4"/>
      <c r="E16" s="4"/>
      <c r="F16" s="4"/>
    </row>
    <row r="17" spans="1:6">
      <c r="A17" s="4"/>
      <c r="B17" s="4"/>
      <c r="C17" s="4"/>
      <c r="D17" s="4"/>
      <c r="E17" s="4"/>
      <c r="F17" s="4"/>
    </row>
    <row r="18" spans="1:6">
      <c r="A18" s="4"/>
      <c r="B18" s="4"/>
      <c r="C18" s="4"/>
      <c r="D18" s="4"/>
      <c r="E18" s="4"/>
      <c r="F18" s="4"/>
    </row>
    <row r="19" spans="1:6">
      <c r="A19" s="4"/>
      <c r="B19" s="4"/>
      <c r="C19" s="4"/>
      <c r="D19" s="4"/>
      <c r="E19" s="4"/>
      <c r="F19" s="4"/>
    </row>
    <row r="20" spans="1:6">
      <c r="A20" s="4"/>
      <c r="B20" s="4"/>
      <c r="C20" s="4"/>
      <c r="D20" s="4"/>
      <c r="E20" s="4"/>
      <c r="F20" s="4"/>
    </row>
    <row r="21" spans="1:6">
      <c r="A21" s="4"/>
      <c r="B21" s="4"/>
      <c r="C21" s="4"/>
      <c r="D21" s="4"/>
      <c r="E21" s="4"/>
      <c r="F21" s="4"/>
    </row>
    <row r="22" spans="1:6">
      <c r="A22" s="4"/>
      <c r="B22" s="4"/>
      <c r="C22" s="4"/>
      <c r="D22" s="4"/>
      <c r="E22" s="4"/>
      <c r="F22" s="4"/>
    </row>
    <row r="23" spans="1:6">
      <c r="A23" s="4"/>
      <c r="B23" s="4"/>
      <c r="C23" s="4"/>
      <c r="D23" s="4"/>
      <c r="E23" s="4"/>
      <c r="F23" s="4"/>
    </row>
    <row r="24" spans="1:6">
      <c r="A24" s="4"/>
      <c r="B24" s="4"/>
      <c r="C24" s="4"/>
      <c r="D24" s="4"/>
      <c r="E24" s="4"/>
      <c r="F24" s="4"/>
    </row>
    <row r="25" spans="1:6">
      <c r="A25" s="4"/>
      <c r="B25" s="4"/>
      <c r="C25" s="4"/>
      <c r="D25" s="4"/>
      <c r="E25" s="4"/>
      <c r="F25" s="4"/>
    </row>
    <row r="26" spans="1:6">
      <c r="A26" s="4"/>
      <c r="B26" s="4"/>
      <c r="C26" s="4"/>
      <c r="D26" s="4"/>
      <c r="E26" s="4"/>
      <c r="F26" s="4"/>
    </row>
    <row r="27" spans="1:6">
      <c r="A27" s="4"/>
      <c r="B27" s="4"/>
      <c r="C27" s="4"/>
      <c r="D27" s="4"/>
      <c r="E27" s="4"/>
      <c r="F27" s="4"/>
    </row>
    <row r="28" spans="1:6">
      <c r="A28" s="4"/>
      <c r="B28" s="4"/>
      <c r="C28" s="4"/>
      <c r="D28" s="4"/>
      <c r="E28" s="4"/>
      <c r="F28" s="4"/>
    </row>
    <row r="29" spans="1:6">
      <c r="A29" s="4"/>
      <c r="B29" s="4"/>
      <c r="C29" s="4"/>
      <c r="D29" s="4"/>
      <c r="E29" s="4"/>
      <c r="F29" s="4"/>
    </row>
    <row r="30" spans="1:6">
      <c r="A30" s="4"/>
      <c r="B30" s="4"/>
      <c r="C30" s="4"/>
      <c r="D30" s="4"/>
      <c r="E30" s="4"/>
      <c r="F30" s="4"/>
    </row>
    <row r="31" spans="1:6">
      <c r="A31" s="4"/>
      <c r="B31" s="4"/>
      <c r="C31" s="4"/>
      <c r="D31" s="4"/>
      <c r="E31" s="4"/>
      <c r="F31" s="4"/>
    </row>
    <row r="32" spans="1:6">
      <c r="A32" s="4"/>
      <c r="B32" s="4"/>
      <c r="C32" s="4"/>
      <c r="D32" s="4"/>
      <c r="E32" s="4"/>
      <c r="F32" s="4"/>
    </row>
    <row r="33" spans="1:6">
      <c r="A33" s="4"/>
      <c r="B33" s="4"/>
      <c r="C33" s="4"/>
      <c r="D33" s="4"/>
      <c r="E33" s="4"/>
      <c r="F33" s="4"/>
    </row>
    <row r="34" spans="1:6">
      <c r="A34" s="4"/>
      <c r="B34" s="4"/>
      <c r="C34" s="4"/>
      <c r="D34" s="4"/>
      <c r="E34" s="4"/>
      <c r="F34" s="4"/>
    </row>
    <row r="35" spans="1:6">
      <c r="A35" s="4"/>
      <c r="B35" s="4"/>
      <c r="C35" s="4"/>
      <c r="D35" s="4"/>
      <c r="E35" s="4"/>
      <c r="F35" s="4"/>
    </row>
  </sheetData>
  <mergeCells count="1">
    <mergeCell ref="A1:D1"/>
  </mergeCells>
  <dataValidations count="2">
    <dataValidation type="list" sqref="B3" xr:uid="{00000000-0002-0000-0900-000000000000}">
      <formula1>"PC,PS5,Nintendo Switch,Xbox"</formula1>
    </dataValidation>
    <dataValidation type="list" sqref="B4" xr:uid="{00000000-0002-0000-0900-000001000000}">
      <formula1>"Minecraft,EA Sports FC 26,GTA V,Hogwarts Legacy,Stardew Valley"</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F35"/>
  <sheetViews>
    <sheetView topLeftCell="A9" workbookViewId="0">
      <selection activeCell="F11" sqref="F11"/>
    </sheetView>
  </sheetViews>
  <sheetFormatPr baseColWidth="10" defaultColWidth="8.796875" defaultRowHeight="13.8"/>
  <cols>
    <col min="1" max="1" width="25" customWidth="1"/>
    <col min="2" max="2" width="31" customWidth="1"/>
    <col min="3" max="3" width="23" customWidth="1"/>
    <col min="4" max="4" width="25" customWidth="1"/>
    <col min="5" max="5" width="21" customWidth="1"/>
    <col min="6" max="6" width="23" customWidth="1"/>
  </cols>
  <sheetData>
    <row r="1" spans="1:6" ht="17.399999999999999">
      <c r="A1" s="85" t="s">
        <v>185</v>
      </c>
      <c r="B1" s="85"/>
      <c r="C1" s="85"/>
      <c r="D1" s="85"/>
      <c r="E1" s="85"/>
      <c r="F1" s="85"/>
    </row>
    <row r="2" spans="1:6">
      <c r="A2" s="4"/>
      <c r="B2" s="4"/>
      <c r="C2" s="4"/>
      <c r="D2" s="4"/>
      <c r="E2" s="4"/>
      <c r="F2" s="4"/>
    </row>
    <row r="3" spans="1:6">
      <c r="A3" s="20" t="s">
        <v>186</v>
      </c>
      <c r="B3" s="20" t="s">
        <v>187</v>
      </c>
      <c r="C3" s="20" t="s">
        <v>188</v>
      </c>
      <c r="D3" s="20" t="s">
        <v>189</v>
      </c>
      <c r="E3" s="4"/>
      <c r="F3" s="4" t="s">
        <v>190</v>
      </c>
    </row>
    <row r="4" spans="1:6">
      <c r="A4" s="4" t="s">
        <v>6</v>
      </c>
      <c r="B4" s="26">
        <v>46235</v>
      </c>
      <c r="C4" s="4">
        <v>5</v>
      </c>
      <c r="D4" s="26">
        <f t="shared" ref="D4:D9" si="0">WORKDAY(B4,C4,$F$4:$F$8)</f>
        <v>46241</v>
      </c>
      <c r="E4" s="4"/>
      <c r="F4" s="26">
        <v>46251</v>
      </c>
    </row>
    <row r="5" spans="1:6">
      <c r="A5" s="4" t="s">
        <v>15</v>
      </c>
      <c r="B5" s="26">
        <v>46238</v>
      </c>
      <c r="C5" s="4">
        <v>5</v>
      </c>
      <c r="D5" s="26">
        <f t="shared" si="0"/>
        <v>46245</v>
      </c>
      <c r="E5" s="4"/>
      <c r="F5" s="26">
        <v>46307</v>
      </c>
    </row>
    <row r="6" spans="1:6">
      <c r="A6" s="4" t="s">
        <v>9</v>
      </c>
      <c r="B6" s="26">
        <v>46236</v>
      </c>
      <c r="C6" s="4">
        <v>7</v>
      </c>
      <c r="D6" s="26">
        <f t="shared" si="0"/>
        <v>46245</v>
      </c>
      <c r="E6" s="4"/>
      <c r="F6" s="26">
        <v>46349</v>
      </c>
    </row>
    <row r="7" spans="1:6">
      <c r="A7" s="4" t="s">
        <v>16</v>
      </c>
      <c r="B7" s="26">
        <v>46239</v>
      </c>
      <c r="C7" s="4">
        <v>7</v>
      </c>
      <c r="D7" s="26">
        <f t="shared" si="0"/>
        <v>46248</v>
      </c>
      <c r="E7" s="4"/>
      <c r="F7" s="26">
        <v>46364</v>
      </c>
    </row>
    <row r="8" spans="1:6">
      <c r="A8" s="4" t="s">
        <v>12</v>
      </c>
      <c r="B8" s="26">
        <v>46237</v>
      </c>
      <c r="C8" s="4">
        <v>10</v>
      </c>
      <c r="D8" s="26">
        <f t="shared" si="0"/>
        <v>46252</v>
      </c>
      <c r="E8" s="4"/>
      <c r="F8" s="26">
        <v>46381</v>
      </c>
    </row>
    <row r="9" spans="1:6">
      <c r="A9" s="4" t="s">
        <v>18</v>
      </c>
      <c r="B9" s="26">
        <v>46240</v>
      </c>
      <c r="C9" s="4">
        <v>10</v>
      </c>
      <c r="D9" s="26">
        <f t="shared" si="0"/>
        <v>46255</v>
      </c>
      <c r="E9" s="4"/>
      <c r="F9" s="4"/>
    </row>
    <row r="10" spans="1:6">
      <c r="A10" s="4"/>
      <c r="B10" s="4"/>
      <c r="C10" s="4"/>
      <c r="D10" s="4"/>
      <c r="E10" s="4"/>
      <c r="F10" s="4"/>
    </row>
    <row r="11" spans="1:6" ht="55.2">
      <c r="A11" s="4" t="s">
        <v>191</v>
      </c>
      <c r="B11" s="4" t="s">
        <v>192</v>
      </c>
      <c r="C11" s="4"/>
      <c r="D11" s="4"/>
      <c r="E11" s="4"/>
      <c r="F11" s="4"/>
    </row>
    <row r="12" spans="1:6" ht="27.6">
      <c r="A12" s="4" t="s">
        <v>193</v>
      </c>
      <c r="B12" s="4" t="s">
        <v>194</v>
      </c>
      <c r="C12" s="4"/>
      <c r="D12" s="4"/>
      <c r="E12" s="4"/>
      <c r="F12" s="4"/>
    </row>
    <row r="13" spans="1:6" ht="41.4">
      <c r="A13" s="4" t="s">
        <v>195</v>
      </c>
      <c r="B13" s="4" t="s">
        <v>196</v>
      </c>
      <c r="C13" s="4"/>
      <c r="D13" s="4"/>
      <c r="E13" s="4"/>
      <c r="F13" s="4"/>
    </row>
    <row r="14" spans="1:6">
      <c r="A14" s="4"/>
      <c r="B14" s="4"/>
      <c r="C14" s="4"/>
      <c r="D14" s="4"/>
      <c r="E14" s="4"/>
      <c r="F14" s="4"/>
    </row>
    <row r="15" spans="1:6">
      <c r="A15" s="4"/>
      <c r="B15" s="4"/>
      <c r="C15" s="4"/>
      <c r="D15" s="4"/>
      <c r="E15" s="4"/>
      <c r="F15" s="4"/>
    </row>
    <row r="16" spans="1:6">
      <c r="A16" s="4"/>
      <c r="B16" s="4"/>
      <c r="C16" s="4"/>
      <c r="D16" s="4"/>
      <c r="E16" s="4"/>
      <c r="F16" s="4"/>
    </row>
    <row r="17" spans="1:6">
      <c r="A17" s="4"/>
      <c r="B17" s="4"/>
      <c r="C17" s="4"/>
      <c r="D17" s="4"/>
      <c r="E17" s="4"/>
      <c r="F17" s="4"/>
    </row>
    <row r="18" spans="1:6">
      <c r="A18" s="4"/>
      <c r="B18" s="4"/>
      <c r="C18" s="4"/>
      <c r="D18" s="4"/>
      <c r="E18" s="4"/>
      <c r="F18" s="4"/>
    </row>
    <row r="19" spans="1:6">
      <c r="A19" s="4"/>
      <c r="B19" s="4"/>
      <c r="C19" s="4"/>
      <c r="D19" s="4"/>
      <c r="E19" s="4"/>
      <c r="F19" s="4"/>
    </row>
    <row r="20" spans="1:6">
      <c r="A20" s="4"/>
      <c r="B20" s="4"/>
      <c r="C20" s="4"/>
      <c r="D20" s="4"/>
      <c r="E20" s="4"/>
      <c r="F20" s="4"/>
    </row>
    <row r="21" spans="1:6">
      <c r="A21" s="4"/>
      <c r="B21" s="4"/>
      <c r="C21" s="4"/>
      <c r="D21" s="4"/>
      <c r="E21" s="4"/>
      <c r="F21" s="4"/>
    </row>
    <row r="22" spans="1:6">
      <c r="A22" s="4"/>
      <c r="B22" s="4"/>
      <c r="C22" s="4"/>
      <c r="D22" s="4"/>
      <c r="E22" s="4"/>
      <c r="F22" s="4"/>
    </row>
    <row r="23" spans="1:6">
      <c r="A23" s="4"/>
      <c r="B23" s="4"/>
      <c r="C23" s="4"/>
      <c r="D23" s="4"/>
      <c r="E23" s="4"/>
      <c r="F23" s="4"/>
    </row>
    <row r="24" spans="1:6">
      <c r="A24" s="4"/>
      <c r="B24" s="4"/>
      <c r="C24" s="4"/>
      <c r="D24" s="4"/>
      <c r="E24" s="4"/>
      <c r="F24" s="4"/>
    </row>
    <row r="25" spans="1:6">
      <c r="A25" s="4"/>
      <c r="B25" s="4"/>
      <c r="C25" s="4"/>
      <c r="D25" s="4"/>
      <c r="E25" s="4"/>
      <c r="F25" s="4"/>
    </row>
    <row r="26" spans="1:6">
      <c r="A26" s="4"/>
      <c r="B26" s="4"/>
      <c r="C26" s="4"/>
      <c r="D26" s="4"/>
      <c r="E26" s="4"/>
      <c r="F26" s="4"/>
    </row>
    <row r="27" spans="1:6">
      <c r="A27" s="4"/>
      <c r="B27" s="4"/>
      <c r="C27" s="4"/>
      <c r="D27" s="4"/>
      <c r="E27" s="4"/>
      <c r="F27" s="4"/>
    </row>
    <row r="28" spans="1:6">
      <c r="A28" s="4"/>
      <c r="B28" s="4"/>
      <c r="C28" s="4"/>
      <c r="D28" s="4"/>
      <c r="E28" s="4"/>
      <c r="F28" s="4"/>
    </row>
    <row r="29" spans="1:6">
      <c r="A29" s="4"/>
      <c r="B29" s="4"/>
      <c r="C29" s="4"/>
      <c r="D29" s="4"/>
      <c r="E29" s="4"/>
      <c r="F29" s="4"/>
    </row>
    <row r="30" spans="1:6">
      <c r="A30" s="4"/>
      <c r="B30" s="4"/>
      <c r="C30" s="4"/>
      <c r="D30" s="4"/>
      <c r="E30" s="4"/>
      <c r="F30" s="4"/>
    </row>
    <row r="31" spans="1:6">
      <c r="A31" s="4"/>
      <c r="B31" s="4"/>
      <c r="C31" s="4"/>
      <c r="D31" s="4"/>
      <c r="E31" s="4"/>
      <c r="F31" s="4"/>
    </row>
    <row r="32" spans="1:6">
      <c r="A32" s="4"/>
      <c r="B32" s="4"/>
      <c r="C32" s="4"/>
      <c r="D32" s="4"/>
      <c r="E32" s="4"/>
      <c r="F32" s="4"/>
    </row>
    <row r="33" spans="1:6">
      <c r="A33" s="4"/>
      <c r="B33" s="4"/>
      <c r="C33" s="4"/>
      <c r="D33" s="4"/>
      <c r="E33" s="4"/>
      <c r="F33" s="4"/>
    </row>
    <row r="34" spans="1:6">
      <c r="A34" s="4"/>
      <c r="B34" s="4"/>
      <c r="C34" s="4"/>
      <c r="D34" s="4"/>
      <c r="E34" s="4"/>
      <c r="F34" s="4"/>
    </row>
    <row r="35" spans="1:6">
      <c r="A35" s="4"/>
      <c r="B35" s="4"/>
      <c r="C35" s="4"/>
      <c r="D35" s="4"/>
      <c r="E35" s="4"/>
      <c r="F35" s="4"/>
    </row>
  </sheetData>
  <mergeCells count="1">
    <mergeCell ref="A1:F1"/>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F57"/>
  <sheetViews>
    <sheetView workbookViewId="0">
      <selection sqref="A1:F1"/>
    </sheetView>
  </sheetViews>
  <sheetFormatPr baseColWidth="10" defaultColWidth="8.796875" defaultRowHeight="13.8"/>
  <cols>
    <col min="1" max="1" width="25" customWidth="1"/>
    <col min="2" max="2" width="31" customWidth="1"/>
    <col min="3" max="3" width="23" customWidth="1"/>
    <col min="4" max="4" width="25" customWidth="1"/>
    <col min="5" max="5" width="21" customWidth="1"/>
    <col min="6" max="6" width="23" customWidth="1"/>
  </cols>
  <sheetData>
    <row r="1" spans="1:6" ht="17.399999999999999">
      <c r="A1" s="85" t="s">
        <v>197</v>
      </c>
      <c r="B1" s="85"/>
      <c r="C1" s="85"/>
      <c r="D1" s="85"/>
      <c r="E1" s="85"/>
      <c r="F1" s="85"/>
    </row>
    <row r="2" spans="1:6">
      <c r="A2" s="4"/>
      <c r="B2" s="4"/>
      <c r="C2" s="4"/>
      <c r="D2" s="4"/>
      <c r="E2" s="4"/>
      <c r="F2" s="4"/>
    </row>
    <row r="3" spans="1:6">
      <c r="A3" s="20" t="s">
        <v>198</v>
      </c>
      <c r="B3" s="20" t="s">
        <v>4</v>
      </c>
      <c r="C3" s="20" t="s">
        <v>199</v>
      </c>
      <c r="D3" s="20" t="s">
        <v>200</v>
      </c>
      <c r="E3" s="4"/>
      <c r="F3" s="4"/>
    </row>
    <row r="4" spans="1:6">
      <c r="A4" s="4" t="s">
        <v>6</v>
      </c>
      <c r="B4" s="4">
        <v>2</v>
      </c>
      <c r="C4" s="24">
        <v>119998</v>
      </c>
      <c r="D4" s="4" t="s">
        <v>201</v>
      </c>
      <c r="E4" s="4"/>
      <c r="F4" s="4"/>
    </row>
    <row r="5" spans="1:6">
      <c r="A5" s="4" t="s">
        <v>9</v>
      </c>
      <c r="B5" s="4">
        <v>1</v>
      </c>
      <c r="C5" s="24">
        <v>44999</v>
      </c>
      <c r="D5" s="4" t="s">
        <v>201</v>
      </c>
      <c r="E5" s="4"/>
      <c r="F5" s="4"/>
    </row>
    <row r="6" spans="1:6">
      <c r="A6" s="4" t="s">
        <v>12</v>
      </c>
      <c r="B6" s="4">
        <v>1</v>
      </c>
      <c r="C6" s="24">
        <v>49999</v>
      </c>
      <c r="D6" s="4" t="s">
        <v>201</v>
      </c>
      <c r="E6" s="4"/>
      <c r="F6" s="4"/>
    </row>
    <row r="7" spans="1:6">
      <c r="A7" s="4" t="s">
        <v>15</v>
      </c>
      <c r="B7" s="4">
        <v>2</v>
      </c>
      <c r="C7" s="24">
        <v>119998</v>
      </c>
      <c r="D7" s="4" t="s">
        <v>202</v>
      </c>
      <c r="E7" s="4"/>
      <c r="F7" s="4"/>
    </row>
    <row r="8" spans="1:6">
      <c r="A8" s="4"/>
      <c r="B8" s="4"/>
      <c r="C8" s="4"/>
      <c r="D8" s="4"/>
      <c r="E8" s="4"/>
      <c r="F8" s="4"/>
    </row>
    <row r="9" spans="1:6">
      <c r="A9" s="20" t="s">
        <v>203</v>
      </c>
      <c r="B9" s="20" t="s">
        <v>204</v>
      </c>
      <c r="C9" s="20" t="s">
        <v>205</v>
      </c>
      <c r="D9" s="20" t="s">
        <v>206</v>
      </c>
      <c r="E9" s="4"/>
      <c r="F9" s="4"/>
    </row>
    <row r="10" spans="1:6" ht="27.6">
      <c r="A10" s="4" t="s">
        <v>207</v>
      </c>
      <c r="B10" s="24">
        <f>SUM(C4:C6)</f>
        <v>214996</v>
      </c>
      <c r="C10" s="4" t="s">
        <v>208</v>
      </c>
      <c r="D10" s="4" t="s">
        <v>209</v>
      </c>
      <c r="E10" s="4"/>
      <c r="F10" s="4"/>
    </row>
    <row r="11" spans="1:6" ht="27.6">
      <c r="A11" s="4" t="s">
        <v>210</v>
      </c>
      <c r="B11" s="24">
        <f>SUM(C4:C7)</f>
        <v>334994</v>
      </c>
      <c r="C11" s="4" t="s">
        <v>211</v>
      </c>
      <c r="D11" s="4" t="s">
        <v>212</v>
      </c>
      <c r="E11" s="4"/>
      <c r="F11" s="4"/>
    </row>
    <row r="12" spans="1:6" ht="27.6">
      <c r="A12" s="4" t="s">
        <v>213</v>
      </c>
      <c r="B12" s="24">
        <f>B11-B10</f>
        <v>119998</v>
      </c>
      <c r="C12" s="4" t="s">
        <v>214</v>
      </c>
      <c r="D12" s="4"/>
      <c r="E12" s="4"/>
      <c r="F12" s="4"/>
    </row>
    <row r="13" spans="1:6">
      <c r="A13" s="4"/>
      <c r="B13" s="4"/>
      <c r="C13" s="4"/>
      <c r="D13" s="4"/>
      <c r="E13" s="4"/>
      <c r="F13" s="4"/>
    </row>
    <row r="14" spans="1:6" ht="27.6">
      <c r="A14" s="23" t="s">
        <v>215</v>
      </c>
      <c r="B14" s="23"/>
      <c r="C14" s="23"/>
      <c r="D14" s="23"/>
      <c r="E14" s="23"/>
      <c r="F14" s="23"/>
    </row>
    <row r="15" spans="1:6">
      <c r="A15" s="4"/>
      <c r="B15" s="4"/>
      <c r="C15" s="4"/>
      <c r="D15" s="4"/>
      <c r="E15" s="4"/>
      <c r="F15" s="4"/>
    </row>
    <row r="16" spans="1:6">
      <c r="A16" s="4"/>
      <c r="B16" s="4"/>
      <c r="C16" s="4"/>
      <c r="D16" s="4"/>
      <c r="E16" s="4"/>
      <c r="F16" s="4"/>
    </row>
    <row r="17" spans="1:6">
      <c r="A17" s="4"/>
      <c r="B17" s="4"/>
      <c r="C17" s="4"/>
      <c r="D17" s="4"/>
      <c r="E17" s="4"/>
      <c r="F17" s="4"/>
    </row>
    <row r="18" spans="1:6">
      <c r="A18" s="4"/>
      <c r="B18" s="4"/>
      <c r="C18" s="4"/>
      <c r="D18" s="4"/>
      <c r="E18" s="4"/>
      <c r="F18" s="4"/>
    </row>
    <row r="19" spans="1:6">
      <c r="B19" s="4"/>
      <c r="C19" s="4"/>
      <c r="D19" s="4"/>
      <c r="E19" s="4"/>
      <c r="F19" s="4"/>
    </row>
    <row r="20" spans="1:6">
      <c r="A20" s="4"/>
      <c r="B20" s="4"/>
      <c r="C20" s="4"/>
      <c r="D20" s="4"/>
      <c r="E20" s="4"/>
      <c r="F20" s="4"/>
    </row>
    <row r="21" spans="1:6">
      <c r="A21" s="86"/>
      <c r="B21" s="86"/>
      <c r="C21" s="86"/>
      <c r="D21" s="86"/>
      <c r="E21" s="86"/>
      <c r="F21" s="86"/>
    </row>
    <row r="22" spans="1:6">
      <c r="A22" s="86"/>
      <c r="B22" s="86"/>
      <c r="C22" s="86"/>
      <c r="D22" s="86"/>
      <c r="E22" s="86"/>
      <c r="F22" s="86"/>
    </row>
    <row r="23" spans="1:6">
      <c r="A23" s="86"/>
      <c r="B23" s="86"/>
      <c r="C23" s="86"/>
      <c r="D23" s="86"/>
      <c r="E23" s="86"/>
      <c r="F23" s="86"/>
    </row>
    <row r="24" spans="1:6">
      <c r="A24" s="86"/>
      <c r="B24" s="86"/>
      <c r="C24" s="86"/>
      <c r="D24" s="86"/>
      <c r="E24" s="86"/>
      <c r="F24" s="86"/>
    </row>
    <row r="25" spans="1:6">
      <c r="A25" s="86"/>
      <c r="B25" s="86"/>
      <c r="C25" s="86"/>
      <c r="D25" s="86"/>
      <c r="E25" s="86"/>
      <c r="F25" s="86"/>
    </row>
    <row r="26" spans="1:6">
      <c r="A26" s="86"/>
      <c r="B26" s="86"/>
      <c r="C26" s="86"/>
      <c r="D26" s="86"/>
      <c r="E26" s="86"/>
      <c r="F26" s="86"/>
    </row>
    <row r="27" spans="1:6">
      <c r="A27" s="86"/>
      <c r="B27" s="86"/>
      <c r="C27" s="86"/>
      <c r="D27" s="86"/>
      <c r="E27" s="86"/>
      <c r="F27" s="86"/>
    </row>
    <row r="28" spans="1:6">
      <c r="A28" s="86"/>
      <c r="B28" s="86"/>
      <c r="C28" s="86"/>
      <c r="D28" s="86"/>
      <c r="E28" s="86"/>
      <c r="F28" s="86"/>
    </row>
    <row r="29" spans="1:6">
      <c r="A29" s="86"/>
      <c r="B29" s="86"/>
      <c r="C29" s="86"/>
      <c r="D29" s="86"/>
      <c r="E29" s="86"/>
      <c r="F29" s="86"/>
    </row>
    <row r="30" spans="1:6">
      <c r="A30" s="86"/>
      <c r="B30" s="86"/>
      <c r="C30" s="86"/>
      <c r="D30" s="86"/>
      <c r="E30" s="86"/>
      <c r="F30" s="86"/>
    </row>
    <row r="31" spans="1:6">
      <c r="A31" s="86"/>
      <c r="B31" s="86"/>
      <c r="C31" s="86"/>
      <c r="D31" s="86"/>
      <c r="E31" s="86"/>
      <c r="F31" s="86"/>
    </row>
    <row r="32" spans="1:6">
      <c r="A32" s="4"/>
      <c r="B32" s="4"/>
      <c r="C32" s="4"/>
      <c r="D32" s="4"/>
      <c r="E32" s="4"/>
      <c r="F32" s="4"/>
    </row>
    <row r="33" spans="1:6">
      <c r="A33" s="4"/>
      <c r="B33" s="4"/>
      <c r="C33" s="4"/>
      <c r="D33" s="4"/>
      <c r="E33" s="4"/>
      <c r="F33" s="4"/>
    </row>
    <row r="34" spans="1:6">
      <c r="A34" s="4"/>
      <c r="B34" s="4"/>
      <c r="C34" s="4"/>
      <c r="D34" s="4"/>
      <c r="E34" s="4"/>
      <c r="F34" s="4"/>
    </row>
    <row r="35" spans="1:6">
      <c r="A35" s="4"/>
      <c r="B35" s="4"/>
      <c r="C35" s="4"/>
      <c r="D35" s="4"/>
      <c r="E35" s="4"/>
      <c r="F35" s="4"/>
    </row>
    <row r="50" spans="1:1">
      <c r="A50" s="8" t="s">
        <v>216</v>
      </c>
    </row>
    <row r="57" spans="1:1">
      <c r="A57" s="8"/>
    </row>
  </sheetData>
  <mergeCells count="2">
    <mergeCell ref="A1:F1"/>
    <mergeCell ref="A21:F31"/>
  </mergeCells>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F35"/>
  <sheetViews>
    <sheetView zoomScale="90" zoomScaleNormal="90" workbookViewId="0">
      <selection activeCell="B19" sqref="B19"/>
    </sheetView>
  </sheetViews>
  <sheetFormatPr baseColWidth="10" defaultColWidth="8.796875" defaultRowHeight="13.8"/>
  <cols>
    <col min="1" max="1" width="25" customWidth="1"/>
    <col min="2" max="2" width="31" customWidth="1"/>
    <col min="3" max="3" width="23" customWidth="1"/>
    <col min="4" max="4" width="25" customWidth="1"/>
    <col min="5" max="5" width="21" customWidth="1"/>
    <col min="6" max="6" width="23" customWidth="1"/>
  </cols>
  <sheetData>
    <row r="1" spans="1:6" ht="17.399999999999999">
      <c r="A1" s="85" t="s">
        <v>217</v>
      </c>
      <c r="B1" s="85"/>
      <c r="C1" s="85"/>
      <c r="D1" s="85"/>
      <c r="E1" s="85"/>
      <c r="F1" s="85"/>
    </row>
    <row r="2" spans="1:6">
      <c r="A2" s="4"/>
      <c r="B2" s="4"/>
      <c r="C2" s="4"/>
      <c r="D2" s="4"/>
      <c r="E2" s="4"/>
      <c r="F2" s="4"/>
    </row>
    <row r="3" spans="1:6">
      <c r="A3" s="20" t="s">
        <v>218</v>
      </c>
      <c r="B3" s="20" t="s">
        <v>147</v>
      </c>
      <c r="C3" s="4"/>
      <c r="D3" s="4"/>
      <c r="E3" s="4"/>
      <c r="F3" s="4"/>
    </row>
    <row r="4" spans="1:6">
      <c r="A4" s="4" t="s">
        <v>219</v>
      </c>
      <c r="B4" s="24">
        <v>119998</v>
      </c>
      <c r="C4" s="4"/>
      <c r="D4" s="4"/>
      <c r="E4" s="4"/>
      <c r="F4" s="4"/>
    </row>
    <row r="5" spans="1:6">
      <c r="A5" s="4" t="s">
        <v>220</v>
      </c>
      <c r="B5" s="27">
        <v>0.05</v>
      </c>
      <c r="C5" s="4"/>
      <c r="D5" s="4"/>
      <c r="E5" s="4"/>
      <c r="F5" s="4"/>
    </row>
    <row r="6" spans="1:6">
      <c r="A6" s="4" t="s">
        <v>221</v>
      </c>
      <c r="B6" s="27">
        <v>0.21</v>
      </c>
      <c r="C6" s="4"/>
      <c r="D6" s="4"/>
      <c r="E6" s="4"/>
      <c r="F6" s="4"/>
    </row>
    <row r="7" spans="1:6">
      <c r="A7" s="4" t="s">
        <v>222</v>
      </c>
      <c r="B7" s="24">
        <v>4500</v>
      </c>
      <c r="C7" s="4"/>
      <c r="D7" s="4"/>
      <c r="E7" s="4"/>
      <c r="F7" s="4"/>
    </row>
    <row r="8" spans="1:6" ht="27.6">
      <c r="A8" s="4" t="s">
        <v>223</v>
      </c>
      <c r="B8" s="4" t="s">
        <v>224</v>
      </c>
      <c r="C8" s="4"/>
      <c r="D8" s="4"/>
      <c r="E8" s="4"/>
      <c r="F8" s="4"/>
    </row>
    <row r="9" spans="1:6">
      <c r="A9" s="4"/>
      <c r="B9" s="4"/>
      <c r="C9" s="4"/>
      <c r="D9" s="4"/>
      <c r="E9" s="4"/>
      <c r="F9" s="4"/>
    </row>
    <row r="10" spans="1:6">
      <c r="A10" s="20" t="s">
        <v>225</v>
      </c>
      <c r="B10" s="20" t="s">
        <v>204</v>
      </c>
      <c r="C10" s="4"/>
      <c r="D10" s="4"/>
      <c r="E10" s="4"/>
      <c r="F10" s="4"/>
    </row>
    <row r="11" spans="1:6">
      <c r="A11" s="4" t="s">
        <v>226</v>
      </c>
      <c r="B11" s="28">
        <f>(B4*(1-B5))+(B4*(1-B5)*B6)+B7</f>
        <v>142437.701</v>
      </c>
      <c r="C11" s="4"/>
      <c r="D11" s="4"/>
      <c r="E11" s="4"/>
      <c r="F11" s="4"/>
    </row>
    <row r="12" spans="1:6" ht="27.6">
      <c r="A12" s="4" t="s">
        <v>227</v>
      </c>
      <c r="B12" s="28">
        <v>142437.701</v>
      </c>
      <c r="C12" s="4"/>
      <c r="D12" s="4"/>
      <c r="E12" s="4"/>
      <c r="F12" s="4"/>
    </row>
    <row r="13" spans="1:6">
      <c r="A13" s="4" t="s">
        <v>228</v>
      </c>
      <c r="B13" s="28">
        <f>B12-B11</f>
        <v>0</v>
      </c>
      <c r="C13" s="4"/>
      <c r="D13" s="4"/>
      <c r="E13" s="4"/>
      <c r="F13" s="4"/>
    </row>
    <row r="14" spans="1:6">
      <c r="A14" s="4"/>
      <c r="B14" s="4"/>
      <c r="C14" s="4"/>
      <c r="D14" s="4"/>
      <c r="E14" s="4"/>
      <c r="F14" s="4"/>
    </row>
    <row r="15" spans="1:6">
      <c r="A15" s="19" t="s">
        <v>229</v>
      </c>
      <c r="B15" s="19"/>
      <c r="C15" s="19"/>
      <c r="D15" s="19"/>
      <c r="E15" s="19"/>
      <c r="F15" s="19"/>
    </row>
    <row r="16" spans="1:6" ht="27.6">
      <c r="A16" s="4" t="s">
        <v>230</v>
      </c>
      <c r="B16" s="4" t="s">
        <v>231</v>
      </c>
      <c r="C16" s="4"/>
      <c r="D16" s="4"/>
      <c r="E16" s="4"/>
      <c r="F16" s="4"/>
    </row>
    <row r="17" spans="1:6" ht="27.6">
      <c r="A17" s="4" t="s">
        <v>232</v>
      </c>
      <c r="B17" s="4" t="s">
        <v>233</v>
      </c>
      <c r="C17" s="4"/>
      <c r="D17" s="4"/>
      <c r="E17" s="4"/>
      <c r="F17" s="4"/>
    </row>
    <row r="18" spans="1:6" ht="27.6">
      <c r="A18" s="4" t="s">
        <v>234</v>
      </c>
      <c r="B18" s="4" t="s">
        <v>235</v>
      </c>
      <c r="C18" s="4"/>
      <c r="D18" s="4"/>
      <c r="E18" s="4"/>
      <c r="F18" s="4"/>
    </row>
    <row r="19" spans="1:6" ht="27.6">
      <c r="A19" s="4" t="s">
        <v>236</v>
      </c>
      <c r="B19" s="4" t="s">
        <v>237</v>
      </c>
      <c r="C19" s="4"/>
      <c r="D19" s="4"/>
      <c r="E19" s="4"/>
      <c r="F19" s="4"/>
    </row>
    <row r="20" spans="1:6">
      <c r="A20" s="4"/>
      <c r="B20" s="4"/>
      <c r="C20" s="4"/>
      <c r="D20" s="4"/>
      <c r="E20" s="4"/>
      <c r="F20" s="4"/>
    </row>
    <row r="21" spans="1:6">
      <c r="A21" s="4"/>
      <c r="B21" s="4"/>
      <c r="C21" s="4"/>
      <c r="D21" s="4"/>
      <c r="E21" s="4"/>
      <c r="F21" s="4"/>
    </row>
    <row r="22" spans="1:6">
      <c r="A22" s="4"/>
      <c r="B22" s="4"/>
      <c r="C22" s="4"/>
      <c r="D22" s="4"/>
      <c r="E22" s="4"/>
      <c r="F22" s="4"/>
    </row>
    <row r="23" spans="1:6">
      <c r="A23" s="4"/>
      <c r="B23" s="4"/>
      <c r="C23" s="4"/>
      <c r="D23" s="4"/>
      <c r="E23" s="4"/>
      <c r="F23" s="4"/>
    </row>
    <row r="24" spans="1:6">
      <c r="A24" s="4"/>
      <c r="B24" s="4"/>
      <c r="C24" s="4"/>
      <c r="D24" s="4"/>
      <c r="E24" s="4"/>
      <c r="F24" s="4"/>
    </row>
    <row r="25" spans="1:6">
      <c r="A25" s="4"/>
      <c r="B25" s="4"/>
      <c r="C25" s="4"/>
      <c r="D25" s="4"/>
      <c r="E25" s="4"/>
      <c r="F25" s="4"/>
    </row>
    <row r="26" spans="1:6">
      <c r="A26" s="4"/>
      <c r="B26" s="4"/>
      <c r="C26" s="4"/>
      <c r="D26" s="4"/>
      <c r="E26" s="4"/>
      <c r="F26" s="4"/>
    </row>
    <row r="27" spans="1:6">
      <c r="A27" s="4"/>
      <c r="B27" s="4"/>
      <c r="C27" s="4"/>
      <c r="D27" s="4"/>
      <c r="E27" s="4"/>
      <c r="F27" s="4"/>
    </row>
    <row r="28" spans="1:6">
      <c r="A28" s="4"/>
      <c r="B28" s="4"/>
      <c r="C28" s="4"/>
      <c r="D28" s="4"/>
      <c r="E28" s="4"/>
      <c r="F28" s="4"/>
    </row>
    <row r="29" spans="1:6">
      <c r="A29" s="4"/>
      <c r="B29" s="4"/>
      <c r="C29" s="4"/>
      <c r="D29" s="4"/>
      <c r="E29" s="4"/>
      <c r="F29" s="4"/>
    </row>
    <row r="30" spans="1:6">
      <c r="A30" s="4"/>
      <c r="B30" s="4"/>
      <c r="C30" s="4"/>
      <c r="D30" s="4"/>
      <c r="E30" s="4"/>
      <c r="F30" s="4"/>
    </row>
    <row r="31" spans="1:6">
      <c r="A31" s="4"/>
      <c r="B31" s="4"/>
      <c r="C31" s="4"/>
      <c r="D31" s="4"/>
      <c r="E31" s="4"/>
      <c r="F31" s="4"/>
    </row>
    <row r="32" spans="1:6">
      <c r="A32" s="4"/>
      <c r="B32" s="4"/>
      <c r="C32" s="4"/>
      <c r="D32" s="4"/>
      <c r="E32" s="4"/>
      <c r="F32" s="4"/>
    </row>
    <row r="33" spans="1:6">
      <c r="A33" s="4"/>
      <c r="B33" s="4"/>
      <c r="C33" s="4"/>
      <c r="D33" s="4"/>
      <c r="E33" s="4"/>
      <c r="F33" s="4"/>
    </row>
    <row r="34" spans="1:6">
      <c r="A34" s="4"/>
      <c r="B34" s="4"/>
      <c r="C34" s="4"/>
      <c r="D34" s="4"/>
      <c r="E34" s="4"/>
      <c r="F34" s="4"/>
    </row>
    <row r="35" spans="1:6">
      <c r="A35" s="4"/>
      <c r="B35" s="4"/>
      <c r="C35" s="4"/>
      <c r="D35" s="4"/>
      <c r="E35" s="4"/>
      <c r="F35" s="4"/>
    </row>
  </sheetData>
  <mergeCells count="1">
    <mergeCell ref="A1:F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06597-BD0D-4361-B6D2-CB2868D2E26F}">
  <sheetPr codeName="Hoja14"/>
  <dimension ref="A1:K51"/>
  <sheetViews>
    <sheetView zoomScaleNormal="100" workbookViewId="0">
      <selection activeCell="G18" sqref="G18"/>
    </sheetView>
  </sheetViews>
  <sheetFormatPr baseColWidth="10" defaultRowHeight="13.8"/>
  <cols>
    <col min="2" max="2" width="11.19921875" style="32"/>
    <col min="4" max="4" width="22.59765625" customWidth="1"/>
    <col min="6" max="6" width="15.69921875" customWidth="1"/>
    <col min="7" max="7" width="11.59765625" customWidth="1"/>
    <col min="11" max="11" width="13" customWidth="1"/>
  </cols>
  <sheetData>
    <row r="1" spans="1:11">
      <c r="A1" t="s">
        <v>0</v>
      </c>
      <c r="B1" s="32" t="s">
        <v>1</v>
      </c>
      <c r="C1" t="s">
        <v>2</v>
      </c>
      <c r="D1" t="s">
        <v>97</v>
      </c>
      <c r="E1" t="s">
        <v>98</v>
      </c>
      <c r="F1" t="s">
        <v>99</v>
      </c>
      <c r="G1" t="s">
        <v>3</v>
      </c>
      <c r="H1" t="s">
        <v>238</v>
      </c>
      <c r="I1" t="s">
        <v>124</v>
      </c>
      <c r="J1" t="s">
        <v>4</v>
      </c>
      <c r="K1" t="s">
        <v>5</v>
      </c>
    </row>
    <row r="2" spans="1:11">
      <c r="A2" t="str">
        <f>Dataset_Principal!A2</f>
        <v>V-001</v>
      </c>
      <c r="B2" s="32">
        <f>Dataset_Principal!B2</f>
        <v>46235</v>
      </c>
      <c r="C2" t="str">
        <f>Dataset_Principal!C2</f>
        <v>J-008</v>
      </c>
      <c r="D2" t="str">
        <f>_xlfn.XLOOKUP(C2,Cat_Juegos!$A$2:$A$11,Cat_Juegos!$B$2:$B$11,"No encontrado")</f>
        <v>Super Mario Bros. Wonder</v>
      </c>
      <c r="E2" t="str">
        <f>_xlfn.XLOOKUP(C2,Cat_Juegos!$A$2:$A$11,Cat_Juegos!$C$2:$C$11,"No encontrado")</f>
        <v>Plataformas</v>
      </c>
      <c r="F2" t="str">
        <f>_xlfn.XLOOKUP(C2,Cat_Juegos!$A$2:$A$11,Cat_Juegos!$D$2:$D$11,"No encontrado")</f>
        <v>Nintendo Switch</v>
      </c>
      <c r="G2" t="str">
        <f>Dataset_Principal!D2</f>
        <v>C-005</v>
      </c>
      <c r="H2" t="str">
        <f>_xlfn.XLOOKUP(G2,Cat_Clientes!$A$2:$A$11,Cat_Clientes!$B$2:$B$11,"No encontrado")</f>
        <v>Tomás</v>
      </c>
      <c r="I2" t="str">
        <f>_xlfn.XLOOKUP(G2,Cat_Clientes!$A$2:$A$11,Cat_Clientes!$C$2:$C$11,"No encontrado")</f>
        <v>La Plata</v>
      </c>
      <c r="J2">
        <f>Dataset_Principal!E2</f>
        <v>2</v>
      </c>
      <c r="K2">
        <f>Dataset_Principal!F2</f>
        <v>119998</v>
      </c>
    </row>
    <row r="3" spans="1:11">
      <c r="A3" t="str">
        <f>Dataset_Principal!A3</f>
        <v>V-002</v>
      </c>
      <c r="B3" s="32">
        <f>Dataset_Principal!B3</f>
        <v>46236</v>
      </c>
      <c r="C3" t="str">
        <f>Dataset_Principal!C3</f>
        <v>J-009</v>
      </c>
      <c r="D3" t="str">
        <f>_xlfn.XLOOKUP(C3,Cat_Juegos!$A$2:$A$11,Cat_Juegos!$B$2:$B$11,"No encontrado")</f>
        <v>Forza Horizon 5</v>
      </c>
      <c r="E3" t="str">
        <f>_xlfn.XLOOKUP(C3,Cat_Juegos!$A$2:$A$11,Cat_Juegos!$C$2:$C$11,"No encontrado")</f>
        <v>Carreras</v>
      </c>
      <c r="F3" t="str">
        <f>_xlfn.XLOOKUP(C3,Cat_Juegos!$A$2:$A$11,Cat_Juegos!$D$2:$D$11,"No encontrado")</f>
        <v>Xbox</v>
      </c>
      <c r="G3" t="str">
        <f>Dataset_Principal!D3</f>
        <v>C-006</v>
      </c>
      <c r="H3" t="str">
        <f>_xlfn.XLOOKUP(G3,Cat_Clientes!$A$2:$A$11,Cat_Clientes!$B$2:$B$11,"No encontrado")</f>
        <v>Valentina</v>
      </c>
      <c r="I3" t="str">
        <f>_xlfn.XLOOKUP(G3,Cat_Clientes!$A$2:$A$11,Cat_Clientes!$C$2:$C$11,"No encontrado")</f>
        <v>Mar del Plata</v>
      </c>
      <c r="J3">
        <f>Dataset_Principal!E3</f>
        <v>1</v>
      </c>
      <c r="K3">
        <f>Dataset_Principal!F3</f>
        <v>44999</v>
      </c>
    </row>
    <row r="4" spans="1:11">
      <c r="A4" t="str">
        <f>Dataset_Principal!A4</f>
        <v>V-003</v>
      </c>
      <c r="B4" s="32">
        <f>Dataset_Principal!B4</f>
        <v>46237</v>
      </c>
      <c r="C4" t="str">
        <f>Dataset_Principal!C4</f>
        <v>J-007</v>
      </c>
      <c r="D4" t="str">
        <f>_xlfn.XLOOKUP(C4,Cat_Juegos!$A$2:$A$11,Cat_Juegos!$B$2:$B$11,"No encontrado")</f>
        <v>Hogwarts Legacy</v>
      </c>
      <c r="E4" t="str">
        <f>_xlfn.XLOOKUP(C4,Cat_Juegos!$A$2:$A$11,Cat_Juegos!$C$2:$C$11,"No encontrado")</f>
        <v>Aventura</v>
      </c>
      <c r="F4" t="str">
        <f>_xlfn.XLOOKUP(C4,Cat_Juegos!$A$2:$A$11,Cat_Juegos!$D$2:$D$11,"No encontrado")</f>
        <v>PS5</v>
      </c>
      <c r="G4" t="str">
        <f>Dataset_Principal!D4</f>
        <v>C-001</v>
      </c>
      <c r="H4" t="str">
        <f>_xlfn.XLOOKUP(G4,Cat_Clientes!$A$2:$A$11,Cat_Clientes!$B$2:$B$11,"No encontrado")</f>
        <v>Martín</v>
      </c>
      <c r="I4" t="str">
        <f>_xlfn.XLOOKUP(G4,Cat_Clientes!$A$2:$A$11,Cat_Clientes!$C$2:$C$11,"No encontrado")</f>
        <v>La Plata</v>
      </c>
      <c r="J4">
        <f>Dataset_Principal!E4</f>
        <v>1</v>
      </c>
      <c r="K4">
        <f>Dataset_Principal!F4</f>
        <v>49999</v>
      </c>
    </row>
    <row r="5" spans="1:11">
      <c r="A5" t="str">
        <f>Dataset_Principal!A5</f>
        <v>V-004</v>
      </c>
      <c r="B5" s="32">
        <f>Dataset_Principal!B5</f>
        <v>46238</v>
      </c>
      <c r="C5" t="str">
        <f>Dataset_Principal!C5</f>
        <v>J-008</v>
      </c>
      <c r="D5" t="str">
        <f>_xlfn.XLOOKUP(C5,Cat_Juegos!$A$2:$A$11,Cat_Juegos!$B$2:$B$11,"No encontrado")</f>
        <v>Super Mario Bros. Wonder</v>
      </c>
      <c r="E5" t="str">
        <f>_xlfn.XLOOKUP(C5,Cat_Juegos!$A$2:$A$11,Cat_Juegos!$C$2:$C$11,"No encontrado")</f>
        <v>Plataformas</v>
      </c>
      <c r="F5" s="33" t="str">
        <f>_xlfn.XLOOKUP(C5,Cat_Juegos!$A$2:$A$11,Cat_Juegos!$D$2:$D$11,"No encontrado")</f>
        <v>Nintendo Switch</v>
      </c>
      <c r="G5" t="str">
        <f>Dataset_Principal!D5</f>
        <v>C-005</v>
      </c>
      <c r="H5" t="str">
        <f>_xlfn.XLOOKUP(G5,Cat_Clientes!$A$2:$A$11,Cat_Clientes!$B$2:$B$11,"No encontrado")</f>
        <v>Tomás</v>
      </c>
      <c r="I5" t="str">
        <f>_xlfn.XLOOKUP(G5,Cat_Clientes!$A$2:$A$11,Cat_Clientes!$C$2:$C$11,"No encontrado")</f>
        <v>La Plata</v>
      </c>
      <c r="J5">
        <f>Dataset_Principal!E5</f>
        <v>2</v>
      </c>
      <c r="K5">
        <f>Dataset_Principal!F5</f>
        <v>119998</v>
      </c>
    </row>
    <row r="6" spans="1:11">
      <c r="A6" t="str">
        <f>Dataset_Principal!A6</f>
        <v>V-005</v>
      </c>
      <c r="B6" s="32">
        <f>Dataset_Principal!B6</f>
        <v>46239</v>
      </c>
      <c r="C6" t="str">
        <f>Dataset_Principal!C6</f>
        <v>J-008</v>
      </c>
      <c r="D6" t="str">
        <f>_xlfn.XLOOKUP(C6,Cat_Juegos!$A$2:$A$11,Cat_Juegos!$B$2:$B$11,"No encontrado")</f>
        <v>Super Mario Bros. Wonder</v>
      </c>
      <c r="E6" t="str">
        <f>_xlfn.XLOOKUP(C6,Cat_Juegos!$A$2:$A$11,Cat_Juegos!$C$2:$C$11,"No encontrado")</f>
        <v>Plataformas</v>
      </c>
      <c r="F6" t="str">
        <f>_xlfn.XLOOKUP(C6,Cat_Juegos!$A$2:$A$11,Cat_Juegos!$D$2:$D$11,"No encontrado")</f>
        <v>Nintendo Switch</v>
      </c>
      <c r="G6" t="str">
        <f>Dataset_Principal!D6</f>
        <v>C-010</v>
      </c>
      <c r="H6" t="str">
        <f>_xlfn.XLOOKUP(G6,Cat_Clientes!$A$2:$A$11,Cat_Clientes!$B$2:$B$11,"No encontrado")</f>
        <v>Agustina</v>
      </c>
      <c r="I6" t="str">
        <f>_xlfn.XLOOKUP(G6,Cat_Clientes!$A$2:$A$11,Cat_Clientes!$C$2:$C$11,"No encontrado")</f>
        <v>Tucumán</v>
      </c>
      <c r="J6">
        <f>Dataset_Principal!E6</f>
        <v>1</v>
      </c>
      <c r="K6">
        <f>Dataset_Principal!F6</f>
        <v>59999</v>
      </c>
    </row>
    <row r="7" spans="1:11">
      <c r="A7" t="str">
        <f>Dataset_Principal!A7</f>
        <v>V-006</v>
      </c>
      <c r="B7" s="32">
        <f>Dataset_Principal!B7</f>
        <v>46240</v>
      </c>
      <c r="C7" t="str">
        <f>Dataset_Principal!C7</f>
        <v>J-009</v>
      </c>
      <c r="D7" t="str">
        <f>_xlfn.XLOOKUP(C7,Cat_Juegos!$A$2:$A$11,Cat_Juegos!$B$2:$B$11,"No encontrado")</f>
        <v>Forza Horizon 5</v>
      </c>
      <c r="E7" t="str">
        <f>_xlfn.XLOOKUP(C7,Cat_Juegos!$A$2:$A$11,Cat_Juegos!$C$2:$C$11,"No encontrado")</f>
        <v>Carreras</v>
      </c>
      <c r="F7" t="str">
        <f>_xlfn.XLOOKUP(C7,Cat_Juegos!$A$2:$A$11,Cat_Juegos!$D$2:$D$11,"No encontrado")</f>
        <v>Xbox</v>
      </c>
      <c r="G7" t="str">
        <f>Dataset_Principal!D7</f>
        <v>C-001</v>
      </c>
      <c r="H7" t="str">
        <f>_xlfn.XLOOKUP(G7,Cat_Clientes!$A$2:$A$11,Cat_Clientes!$B$2:$B$11,"No encontrado")</f>
        <v>Martín</v>
      </c>
      <c r="I7" t="str">
        <f>_xlfn.XLOOKUP(G7,Cat_Clientes!$A$2:$A$11,Cat_Clientes!$C$2:$C$11,"No encontrado")</f>
        <v>La Plata</v>
      </c>
      <c r="J7">
        <f>Dataset_Principal!E7</f>
        <v>2</v>
      </c>
      <c r="K7">
        <f>Dataset_Principal!F7</f>
        <v>89998</v>
      </c>
    </row>
    <row r="8" spans="1:11">
      <c r="A8" t="str">
        <f>Dataset_Principal!A8</f>
        <v>V-007</v>
      </c>
      <c r="B8" s="32">
        <f>Dataset_Principal!B8</f>
        <v>46241</v>
      </c>
      <c r="C8" t="str">
        <f>Dataset_Principal!C8</f>
        <v>J-010</v>
      </c>
      <c r="D8" t="str">
        <f>_xlfn.XLOOKUP(C8,Cat_Juegos!$A$2:$A$11,Cat_Juegos!$B$2:$B$11,"No encontrado")</f>
        <v>Stardew Valley</v>
      </c>
      <c r="E8" t="str">
        <f>_xlfn.XLOOKUP(C8,Cat_Juegos!$A$2:$A$11,Cat_Juegos!$C$2:$C$11,"No encontrado")</f>
        <v>Simulación</v>
      </c>
      <c r="F8" t="str">
        <f>_xlfn.XLOOKUP(C8,Cat_Juegos!$A$2:$A$11,Cat_Juegos!$D$2:$D$11,"No encontrado")</f>
        <v>PC</v>
      </c>
      <c r="G8" t="str">
        <f>Dataset_Principal!D8</f>
        <v>C-003</v>
      </c>
      <c r="H8" t="str">
        <f>_xlfn.XLOOKUP(G8,Cat_Clientes!$A$2:$A$11,Cat_Clientes!$B$2:$B$11,"No encontrado")</f>
        <v>Lucas</v>
      </c>
      <c r="I8" t="str">
        <f>_xlfn.XLOOKUP(G8,Cat_Clientes!$A$2:$A$11,Cat_Clientes!$C$2:$C$11,"No encontrado")</f>
        <v>Rosario</v>
      </c>
      <c r="J8">
        <f>Dataset_Principal!E8</f>
        <v>1</v>
      </c>
      <c r="K8">
        <f>Dataset_Principal!F8</f>
        <v>14999</v>
      </c>
    </row>
    <row r="9" spans="1:11">
      <c r="A9" t="str">
        <f>Dataset_Principal!A9</f>
        <v>V-008</v>
      </c>
      <c r="B9" s="32">
        <f>Dataset_Principal!B9</f>
        <v>46242</v>
      </c>
      <c r="C9" t="str">
        <f>Dataset_Principal!C9</f>
        <v>J-006</v>
      </c>
      <c r="D9" t="str">
        <f>_xlfn.XLOOKUP(C9,Cat_Juegos!$A$2:$A$11,Cat_Juegos!$B$2:$B$11,"No encontrado")</f>
        <v>Grand Theft Auto V</v>
      </c>
      <c r="E9" t="str">
        <f>_xlfn.XLOOKUP(C9,Cat_Juegos!$A$2:$A$11,Cat_Juegos!$C$2:$C$11,"No encontrado")</f>
        <v>Acción</v>
      </c>
      <c r="F9" t="str">
        <f>_xlfn.XLOOKUP(C9,Cat_Juegos!$A$2:$A$11,Cat_Juegos!$D$2:$D$11,"No encontrado")</f>
        <v>PS5</v>
      </c>
      <c r="G9" t="str">
        <f>Dataset_Principal!D9</f>
        <v>C-003</v>
      </c>
      <c r="H9" t="str">
        <f>_xlfn.XLOOKUP(G9,Cat_Clientes!$A$2:$A$11,Cat_Clientes!$B$2:$B$11,"No encontrado")</f>
        <v>Lucas</v>
      </c>
      <c r="I9" t="str">
        <f>_xlfn.XLOOKUP(G9,Cat_Clientes!$A$2:$A$11,Cat_Clientes!$C$2:$C$11,"No encontrado")</f>
        <v>Rosario</v>
      </c>
      <c r="J9">
        <f>Dataset_Principal!E9</f>
        <v>1</v>
      </c>
      <c r="K9">
        <f>Dataset_Principal!F9</f>
        <v>39999</v>
      </c>
    </row>
    <row r="10" spans="1:11">
      <c r="A10" t="str">
        <f>Dataset_Principal!A10</f>
        <v>V-009</v>
      </c>
      <c r="B10" s="32">
        <f>Dataset_Principal!B10</f>
        <v>46243</v>
      </c>
      <c r="C10" t="str">
        <f>Dataset_Principal!C10</f>
        <v>J-004</v>
      </c>
      <c r="D10" t="str">
        <f>_xlfn.XLOOKUP(C10,Cat_Juegos!$A$2:$A$11,Cat_Juegos!$B$2:$B$11,"No encontrado")</f>
        <v>Fortnite</v>
      </c>
      <c r="E10" t="str">
        <f>_xlfn.XLOOKUP(C10,Cat_Juegos!$A$2:$A$11,Cat_Juegos!$C$2:$C$11,"No encontrado")</f>
        <v>Battle Royale</v>
      </c>
      <c r="F10" t="str">
        <f>_xlfn.XLOOKUP(C10,Cat_Juegos!$A$2:$A$11,Cat_Juegos!$D$2:$D$11,"No encontrado")</f>
        <v>PC</v>
      </c>
      <c r="G10" t="str">
        <f>Dataset_Principal!D10</f>
        <v>C-001</v>
      </c>
      <c r="H10" t="str">
        <f>_xlfn.XLOOKUP(G10,Cat_Clientes!$A$2:$A$11,Cat_Clientes!$B$2:$B$11,"No encontrado")</f>
        <v>Martín</v>
      </c>
      <c r="I10" t="str">
        <f>_xlfn.XLOOKUP(G10,Cat_Clientes!$A$2:$A$11,Cat_Clientes!$C$2:$C$11,"No encontrado")</f>
        <v>La Plata</v>
      </c>
      <c r="J10">
        <f>Dataset_Principal!E10</f>
        <v>2</v>
      </c>
      <c r="K10">
        <f>Dataset_Principal!F10</f>
        <v>0</v>
      </c>
    </row>
    <row r="11" spans="1:11">
      <c r="A11" t="str">
        <f>Dataset_Principal!A11</f>
        <v>V-010</v>
      </c>
      <c r="B11" s="32">
        <f>Dataset_Principal!B11</f>
        <v>46244</v>
      </c>
      <c r="C11" t="str">
        <f>Dataset_Principal!C11</f>
        <v>J-004</v>
      </c>
      <c r="D11" t="str">
        <f>_xlfn.XLOOKUP(C11,Cat_Juegos!$A$2:$A$11,Cat_Juegos!$B$2:$B$11,"No encontrado")</f>
        <v>Fortnite</v>
      </c>
      <c r="E11" t="str">
        <f>_xlfn.XLOOKUP(C11,Cat_Juegos!$A$2:$A$11,Cat_Juegos!$C$2:$C$11,"No encontrado")</f>
        <v>Battle Royale</v>
      </c>
      <c r="F11" t="str">
        <f>_xlfn.XLOOKUP(C11,Cat_Juegos!$A$2:$A$11,Cat_Juegos!$D$2:$D$11,"No encontrado")</f>
        <v>PC</v>
      </c>
      <c r="G11" t="str">
        <f>Dataset_Principal!D11</f>
        <v>C-002</v>
      </c>
      <c r="H11" t="str">
        <f>_xlfn.XLOOKUP(G11,Cat_Clientes!$A$2:$A$11,Cat_Clientes!$B$2:$B$11,"No encontrado")</f>
        <v>Sofía</v>
      </c>
      <c r="I11" t="str">
        <f>_xlfn.XLOOKUP(G11,Cat_Clientes!$A$2:$A$11,Cat_Clientes!$C$2:$C$11,"No encontrado")</f>
        <v>Córdoba</v>
      </c>
      <c r="J11">
        <f>Dataset_Principal!E11</f>
        <v>2</v>
      </c>
      <c r="K11">
        <f>Dataset_Principal!F11</f>
        <v>0</v>
      </c>
    </row>
    <row r="12" spans="1:11">
      <c r="A12" t="str">
        <f>Dataset_Principal!A12</f>
        <v>V-011</v>
      </c>
      <c r="B12" s="32">
        <f>Dataset_Principal!B12</f>
        <v>46245</v>
      </c>
      <c r="C12" t="str">
        <f>Dataset_Principal!C12</f>
        <v>J-006</v>
      </c>
      <c r="D12" t="str">
        <f>_xlfn.XLOOKUP(C12,Cat_Juegos!$A$2:$A$11,Cat_Juegos!$B$2:$B$11,"No encontrado")</f>
        <v>Grand Theft Auto V</v>
      </c>
      <c r="E12" t="str">
        <f>_xlfn.XLOOKUP(C12,Cat_Juegos!$A$2:$A$11,Cat_Juegos!$C$2:$C$11,"No encontrado")</f>
        <v>Acción</v>
      </c>
      <c r="F12" t="str">
        <f>_xlfn.XLOOKUP(C12,Cat_Juegos!$A$2:$A$11,Cat_Juegos!$D$2:$D$11,"No encontrado")</f>
        <v>PS5</v>
      </c>
      <c r="G12" t="str">
        <f>Dataset_Principal!D12</f>
        <v>C-007</v>
      </c>
      <c r="H12" t="str">
        <f>_xlfn.XLOOKUP(G12,Cat_Clientes!$A$2:$A$11,Cat_Clientes!$B$2:$B$11,"No encontrado")</f>
        <v>Nicolás</v>
      </c>
      <c r="I12" t="str">
        <f>_xlfn.XLOOKUP(G12,Cat_Clientes!$A$2:$A$11,Cat_Clientes!$C$2:$C$11,"No encontrado")</f>
        <v>Buenos Aires</v>
      </c>
      <c r="J12">
        <f>Dataset_Principal!E12</f>
        <v>3</v>
      </c>
      <c r="K12">
        <f>Dataset_Principal!F12</f>
        <v>119997</v>
      </c>
    </row>
    <row r="13" spans="1:11">
      <c r="A13" t="str">
        <f>Dataset_Principal!A13</f>
        <v>V-012</v>
      </c>
      <c r="B13" s="32">
        <f>Dataset_Principal!B13</f>
        <v>46246</v>
      </c>
      <c r="C13" t="str">
        <f>Dataset_Principal!C13</f>
        <v>J-002</v>
      </c>
      <c r="D13" t="str">
        <f>_xlfn.XLOOKUP(C13,Cat_Juegos!$A$2:$A$11,Cat_Juegos!$B$2:$B$11,"No encontrado")</f>
        <v>EA Sports FC 26</v>
      </c>
      <c r="E13" t="str">
        <f>_xlfn.XLOOKUP(C13,Cat_Juegos!$A$2:$A$11,Cat_Juegos!$C$2:$C$11,"No encontrado")</f>
        <v>Deportes</v>
      </c>
      <c r="F13" t="str">
        <f>_xlfn.XLOOKUP(C13,Cat_Juegos!$A$2:$A$11,Cat_Juegos!$D$2:$D$11,"No encontrado")</f>
        <v>PS5</v>
      </c>
      <c r="G13" t="str">
        <f>Dataset_Principal!D13</f>
        <v>C-001</v>
      </c>
      <c r="H13" t="str">
        <f>_xlfn.XLOOKUP(G13,Cat_Clientes!$A$2:$A$11,Cat_Clientes!$B$2:$B$11,"No encontrado")</f>
        <v>Martín</v>
      </c>
      <c r="I13" t="str">
        <f>_xlfn.XLOOKUP(G13,Cat_Clientes!$A$2:$A$11,Cat_Clientes!$C$2:$C$11,"No encontrado")</f>
        <v>La Plata</v>
      </c>
      <c r="J13">
        <f>Dataset_Principal!E13</f>
        <v>1</v>
      </c>
      <c r="K13">
        <f>Dataset_Principal!F13</f>
        <v>69999</v>
      </c>
    </row>
    <row r="14" spans="1:11">
      <c r="A14" t="str">
        <f>Dataset_Principal!A14</f>
        <v>V-013</v>
      </c>
      <c r="B14" s="32">
        <f>Dataset_Principal!B14</f>
        <v>46247</v>
      </c>
      <c r="C14" t="str">
        <f>Dataset_Principal!C14</f>
        <v>J-009</v>
      </c>
      <c r="D14" t="str">
        <f>_xlfn.XLOOKUP(C14,Cat_Juegos!$A$2:$A$11,Cat_Juegos!$B$2:$B$11,"No encontrado")</f>
        <v>Forza Horizon 5</v>
      </c>
      <c r="E14" t="str">
        <f>_xlfn.XLOOKUP(C14,Cat_Juegos!$A$2:$A$11,Cat_Juegos!$C$2:$C$11,"No encontrado")</f>
        <v>Carreras</v>
      </c>
      <c r="F14" t="str">
        <f>_xlfn.XLOOKUP(C14,Cat_Juegos!$A$2:$A$11,Cat_Juegos!$D$2:$D$11,"No encontrado")</f>
        <v>Xbox</v>
      </c>
      <c r="G14" t="str">
        <f>Dataset_Principal!D14</f>
        <v>C-004</v>
      </c>
      <c r="H14" t="str">
        <f>_xlfn.XLOOKUP(G14,Cat_Clientes!$A$2:$A$11,Cat_Clientes!$B$2:$B$11,"No encontrado")</f>
        <v>Camila</v>
      </c>
      <c r="I14" t="str">
        <f>_xlfn.XLOOKUP(G14,Cat_Clientes!$A$2:$A$11,Cat_Clientes!$C$2:$C$11,"No encontrado")</f>
        <v>Mendoza</v>
      </c>
      <c r="J14">
        <f>Dataset_Principal!E14</f>
        <v>1</v>
      </c>
      <c r="K14">
        <f>Dataset_Principal!F14</f>
        <v>44999</v>
      </c>
    </row>
    <row r="15" spans="1:11">
      <c r="A15" t="str">
        <f>Dataset_Principal!A15</f>
        <v>V-014</v>
      </c>
      <c r="B15" s="32">
        <f>Dataset_Principal!B15</f>
        <v>46248</v>
      </c>
      <c r="C15" t="str">
        <f>Dataset_Principal!C15</f>
        <v>J-007</v>
      </c>
      <c r="D15" t="str">
        <f>_xlfn.XLOOKUP(C15,Cat_Juegos!$A$2:$A$11,Cat_Juegos!$B$2:$B$11,"No encontrado")</f>
        <v>Hogwarts Legacy</v>
      </c>
      <c r="E15" t="str">
        <f>_xlfn.XLOOKUP(C15,Cat_Juegos!$A$2:$A$11,Cat_Juegos!$C$2:$C$11,"No encontrado")</f>
        <v>Aventura</v>
      </c>
      <c r="F15" t="str">
        <f>_xlfn.XLOOKUP(C15,Cat_Juegos!$A$2:$A$11,Cat_Juegos!$D$2:$D$11,"No encontrado")</f>
        <v>PS5</v>
      </c>
      <c r="G15" t="str">
        <f>Dataset_Principal!D15</f>
        <v>C-008</v>
      </c>
      <c r="H15" t="str">
        <f>_xlfn.XLOOKUP(G15,Cat_Clientes!$A$2:$A$11,Cat_Clientes!$B$2:$B$11,"No encontrado")</f>
        <v>Julieta</v>
      </c>
      <c r="I15" t="str">
        <f>_xlfn.XLOOKUP(G15,Cat_Clientes!$A$2:$A$11,Cat_Clientes!$C$2:$C$11,"No encontrado")</f>
        <v>Santa Fe</v>
      </c>
      <c r="J15">
        <f>Dataset_Principal!E15</f>
        <v>1</v>
      </c>
      <c r="K15">
        <f>Dataset_Principal!F15</f>
        <v>49999</v>
      </c>
    </row>
    <row r="16" spans="1:11">
      <c r="A16" t="str">
        <f>Dataset_Principal!A16</f>
        <v>V-015</v>
      </c>
      <c r="B16" s="32">
        <f>Dataset_Principal!B16</f>
        <v>46249</v>
      </c>
      <c r="C16" t="str">
        <f>Dataset_Principal!C16</f>
        <v>J-007</v>
      </c>
      <c r="D16" t="str">
        <f>_xlfn.XLOOKUP(C16,Cat_Juegos!$A$2:$A$11,Cat_Juegos!$B$2:$B$11,"No encontrado")</f>
        <v>Hogwarts Legacy</v>
      </c>
      <c r="E16" t="str">
        <f>_xlfn.XLOOKUP(C16,Cat_Juegos!$A$2:$A$11,Cat_Juegos!$C$2:$C$11,"No encontrado")</f>
        <v>Aventura</v>
      </c>
      <c r="F16" t="str">
        <f>_xlfn.XLOOKUP(C16,Cat_Juegos!$A$2:$A$11,Cat_Juegos!$D$2:$D$11,"No encontrado")</f>
        <v>PS5</v>
      </c>
      <c r="G16" t="str">
        <f>Dataset_Principal!D16</f>
        <v>C-003</v>
      </c>
      <c r="H16" t="str">
        <f>_xlfn.XLOOKUP(G16,Cat_Clientes!$A$2:$A$11,Cat_Clientes!$B$2:$B$11,"No encontrado")</f>
        <v>Lucas</v>
      </c>
      <c r="I16" t="str">
        <f>_xlfn.XLOOKUP(G16,Cat_Clientes!$A$2:$A$11,Cat_Clientes!$C$2:$C$11,"No encontrado")</f>
        <v>Rosario</v>
      </c>
      <c r="J16">
        <f>Dataset_Principal!E16</f>
        <v>2</v>
      </c>
      <c r="K16">
        <f>Dataset_Principal!F16</f>
        <v>99998</v>
      </c>
    </row>
    <row r="17" spans="1:11">
      <c r="A17" t="str">
        <f>Dataset_Principal!A17</f>
        <v>V-016</v>
      </c>
      <c r="B17" s="32">
        <f>Dataset_Principal!B17</f>
        <v>46250</v>
      </c>
      <c r="C17" t="str">
        <f>Dataset_Principal!C17</f>
        <v>J-006</v>
      </c>
      <c r="D17" t="str">
        <f>_xlfn.XLOOKUP(C17,Cat_Juegos!$A$2:$A$11,Cat_Juegos!$B$2:$B$11,"No encontrado")</f>
        <v>Grand Theft Auto V</v>
      </c>
      <c r="E17" t="str">
        <f>_xlfn.XLOOKUP(C17,Cat_Juegos!$A$2:$A$11,Cat_Juegos!$C$2:$C$11,"No encontrado")</f>
        <v>Acción</v>
      </c>
      <c r="F17" t="str">
        <f>_xlfn.XLOOKUP(C17,Cat_Juegos!$A$2:$A$11,Cat_Juegos!$D$2:$D$11,"No encontrado")</f>
        <v>PS5</v>
      </c>
      <c r="G17" t="str">
        <f>Dataset_Principal!D17</f>
        <v>C-010</v>
      </c>
      <c r="H17" t="str">
        <f>_xlfn.XLOOKUP(G17,Cat_Clientes!$A$2:$A$11,Cat_Clientes!$B$2:$B$11,"No encontrado")</f>
        <v>Agustina</v>
      </c>
      <c r="I17" t="str">
        <f>_xlfn.XLOOKUP(G17,Cat_Clientes!$A$2:$A$11,Cat_Clientes!$C$2:$C$11,"No encontrado")</f>
        <v>Tucumán</v>
      </c>
      <c r="J17">
        <f>Dataset_Principal!E17</f>
        <v>2</v>
      </c>
      <c r="K17">
        <f>Dataset_Principal!F17</f>
        <v>79998</v>
      </c>
    </row>
    <row r="18" spans="1:11">
      <c r="A18" t="str">
        <f>Dataset_Principal!A18</f>
        <v>V-017</v>
      </c>
      <c r="B18" s="32">
        <f>Dataset_Principal!B18</f>
        <v>46251</v>
      </c>
      <c r="C18" t="str">
        <f>Dataset_Principal!C18</f>
        <v>J-003</v>
      </c>
      <c r="D18" t="str">
        <f>_xlfn.XLOOKUP(C18,Cat_Juegos!$A$2:$A$11,Cat_Juegos!$B$2:$B$11,"No encontrado")</f>
        <v>Mario Kart 8 Deluxe</v>
      </c>
      <c r="E18" t="str">
        <f>_xlfn.XLOOKUP(C18,Cat_Juegos!$A$2:$A$11,Cat_Juegos!$C$2:$C$11,"No encontrado")</f>
        <v>Carreras</v>
      </c>
      <c r="F18" t="str">
        <f>_xlfn.XLOOKUP(C18,Cat_Juegos!$A$2:$A$11,Cat_Juegos!$D$2:$D$11,"No encontrado")</f>
        <v>Nintendo Switch</v>
      </c>
      <c r="G18" t="str">
        <f>Dataset_Principal!D18</f>
        <v>C-001</v>
      </c>
      <c r="H18" t="str">
        <f>_xlfn.XLOOKUP(G18,Cat_Clientes!$A$2:$A$11,Cat_Clientes!$B$2:$B$11,"No encontrado")</f>
        <v>Martín</v>
      </c>
      <c r="I18" t="str">
        <f>_xlfn.XLOOKUP(G18,Cat_Clientes!$A$2:$A$11,Cat_Clientes!$C$2:$C$11,"No encontrado")</f>
        <v>La Plata</v>
      </c>
      <c r="J18">
        <f>Dataset_Principal!E18</f>
        <v>2</v>
      </c>
      <c r="K18">
        <f>Dataset_Principal!F18</f>
        <v>119998</v>
      </c>
    </row>
    <row r="19" spans="1:11">
      <c r="A19" t="str">
        <f>Dataset_Principal!A19</f>
        <v>V-018</v>
      </c>
      <c r="B19" s="32">
        <f>Dataset_Principal!B19</f>
        <v>46252</v>
      </c>
      <c r="C19" t="str">
        <f>Dataset_Principal!C19</f>
        <v>J-003</v>
      </c>
      <c r="D19" t="str">
        <f>_xlfn.XLOOKUP(C19,Cat_Juegos!$A$2:$A$11,Cat_Juegos!$B$2:$B$11,"No encontrado")</f>
        <v>Mario Kart 8 Deluxe</v>
      </c>
      <c r="E19" t="str">
        <f>_xlfn.XLOOKUP(C19,Cat_Juegos!$A$2:$A$11,Cat_Juegos!$C$2:$C$11,"No encontrado")</f>
        <v>Carreras</v>
      </c>
      <c r="F19" t="str">
        <f>_xlfn.XLOOKUP(C19,Cat_Juegos!$A$2:$A$11,Cat_Juegos!$D$2:$D$11,"No encontrado")</f>
        <v>Nintendo Switch</v>
      </c>
      <c r="G19" t="str">
        <f>Dataset_Principal!D19</f>
        <v>C-009</v>
      </c>
      <c r="H19" t="str">
        <f>_xlfn.XLOOKUP(G19,Cat_Clientes!$A$2:$A$11,Cat_Clientes!$B$2:$B$11,"No encontrado")</f>
        <v>Mateo</v>
      </c>
      <c r="I19" t="str">
        <f>_xlfn.XLOOKUP(G19,Cat_Clientes!$A$2:$A$11,Cat_Clientes!$C$2:$C$11,"No encontrado")</f>
        <v>Neuquén</v>
      </c>
      <c r="J19">
        <f>Dataset_Principal!E19</f>
        <v>3</v>
      </c>
      <c r="K19">
        <f>Dataset_Principal!F19</f>
        <v>179997</v>
      </c>
    </row>
    <row r="20" spans="1:11">
      <c r="A20" t="str">
        <f>Dataset_Principal!A20</f>
        <v>V-019</v>
      </c>
      <c r="B20" s="32">
        <f>Dataset_Principal!B20</f>
        <v>46253</v>
      </c>
      <c r="C20" t="str">
        <f>Dataset_Principal!C20</f>
        <v>J-002</v>
      </c>
      <c r="D20" t="str">
        <f>_xlfn.XLOOKUP(C20,Cat_Juegos!$A$2:$A$11,Cat_Juegos!$B$2:$B$11,"No encontrado")</f>
        <v>EA Sports FC 26</v>
      </c>
      <c r="E20" t="str">
        <f>_xlfn.XLOOKUP(C20,Cat_Juegos!$A$2:$A$11,Cat_Juegos!$C$2:$C$11,"No encontrado")</f>
        <v>Deportes</v>
      </c>
      <c r="F20" t="str">
        <f>_xlfn.XLOOKUP(C20,Cat_Juegos!$A$2:$A$11,Cat_Juegos!$D$2:$D$11,"No encontrado")</f>
        <v>PS5</v>
      </c>
      <c r="G20" t="str">
        <f>Dataset_Principal!D20</f>
        <v>C-007</v>
      </c>
      <c r="H20" t="str">
        <f>_xlfn.XLOOKUP(G20,Cat_Clientes!$A$2:$A$11,Cat_Clientes!$B$2:$B$11,"No encontrado")</f>
        <v>Nicolás</v>
      </c>
      <c r="I20" t="str">
        <f>_xlfn.XLOOKUP(G20,Cat_Clientes!$A$2:$A$11,Cat_Clientes!$C$2:$C$11,"No encontrado")</f>
        <v>Buenos Aires</v>
      </c>
      <c r="J20">
        <f>Dataset_Principal!E20</f>
        <v>2</v>
      </c>
      <c r="K20">
        <f>Dataset_Principal!F20</f>
        <v>139998</v>
      </c>
    </row>
    <row r="21" spans="1:11">
      <c r="A21" t="str">
        <f>Dataset_Principal!A21</f>
        <v>V-020</v>
      </c>
      <c r="B21" s="32">
        <f>Dataset_Principal!B21</f>
        <v>46254</v>
      </c>
      <c r="C21" t="str">
        <f>Dataset_Principal!C21</f>
        <v>J-007</v>
      </c>
      <c r="D21" t="str">
        <f>_xlfn.XLOOKUP(C21,Cat_Juegos!$A$2:$A$11,Cat_Juegos!$B$2:$B$11,"No encontrado")</f>
        <v>Hogwarts Legacy</v>
      </c>
      <c r="E21" t="str">
        <f>_xlfn.XLOOKUP(C21,Cat_Juegos!$A$2:$A$11,Cat_Juegos!$C$2:$C$11,"No encontrado")</f>
        <v>Aventura</v>
      </c>
      <c r="F21" t="str">
        <f>_xlfn.XLOOKUP(C21,Cat_Juegos!$A$2:$A$11,Cat_Juegos!$D$2:$D$11,"No encontrado")</f>
        <v>PS5</v>
      </c>
      <c r="G21" t="str">
        <f>Dataset_Principal!D21</f>
        <v>C-010</v>
      </c>
      <c r="H21" t="str">
        <f>_xlfn.XLOOKUP(G21,Cat_Clientes!$A$2:$A$11,Cat_Clientes!$B$2:$B$11,"No encontrado")</f>
        <v>Agustina</v>
      </c>
      <c r="I21" t="str">
        <f>_xlfn.XLOOKUP(G21,Cat_Clientes!$A$2:$A$11,Cat_Clientes!$C$2:$C$11,"No encontrado")</f>
        <v>Tucumán</v>
      </c>
      <c r="J21">
        <f>Dataset_Principal!E21</f>
        <v>1</v>
      </c>
      <c r="K21">
        <f>Dataset_Principal!F21</f>
        <v>49999</v>
      </c>
    </row>
    <row r="22" spans="1:11">
      <c r="A22" t="str">
        <f>Dataset_Principal!A22</f>
        <v>V-021</v>
      </c>
      <c r="B22" s="32">
        <f>Dataset_Principal!B22</f>
        <v>46255</v>
      </c>
      <c r="C22" t="str">
        <f>Dataset_Principal!C22</f>
        <v>J-008</v>
      </c>
      <c r="D22" t="str">
        <f>_xlfn.XLOOKUP(C22,Cat_Juegos!$A$2:$A$11,Cat_Juegos!$B$2:$B$11,"No encontrado")</f>
        <v>Super Mario Bros. Wonder</v>
      </c>
      <c r="E22" t="str">
        <f>_xlfn.XLOOKUP(C22,Cat_Juegos!$A$2:$A$11,Cat_Juegos!$C$2:$C$11,"No encontrado")</f>
        <v>Plataformas</v>
      </c>
      <c r="F22" t="str">
        <f>_xlfn.XLOOKUP(C22,Cat_Juegos!$A$2:$A$11,Cat_Juegos!$D$2:$D$11,"No encontrado")</f>
        <v>Nintendo Switch</v>
      </c>
      <c r="G22" t="str">
        <f>Dataset_Principal!D22</f>
        <v>C-010</v>
      </c>
      <c r="H22" t="str">
        <f>_xlfn.XLOOKUP(G22,Cat_Clientes!$A$2:$A$11,Cat_Clientes!$B$2:$B$11,"No encontrado")</f>
        <v>Agustina</v>
      </c>
      <c r="I22" t="str">
        <f>_xlfn.XLOOKUP(G22,Cat_Clientes!$A$2:$A$11,Cat_Clientes!$C$2:$C$11,"No encontrado")</f>
        <v>Tucumán</v>
      </c>
      <c r="J22">
        <f>Dataset_Principal!E22</f>
        <v>1</v>
      </c>
      <c r="K22">
        <f>Dataset_Principal!F22</f>
        <v>59999</v>
      </c>
    </row>
    <row r="23" spans="1:11">
      <c r="A23" t="str">
        <f>Dataset_Principal!A23</f>
        <v>V-022</v>
      </c>
      <c r="B23" s="32">
        <f>Dataset_Principal!B23</f>
        <v>46256</v>
      </c>
      <c r="C23" t="str">
        <f>Dataset_Principal!C23</f>
        <v>J-009</v>
      </c>
      <c r="D23" t="str">
        <f>_xlfn.XLOOKUP(C23,Cat_Juegos!$A$2:$A$11,Cat_Juegos!$B$2:$B$11,"No encontrado")</f>
        <v>Forza Horizon 5</v>
      </c>
      <c r="E23" t="str">
        <f>_xlfn.XLOOKUP(C23,Cat_Juegos!$A$2:$A$11,Cat_Juegos!$C$2:$C$11,"No encontrado")</f>
        <v>Carreras</v>
      </c>
      <c r="F23" t="str">
        <f>_xlfn.XLOOKUP(C23,Cat_Juegos!$A$2:$A$11,Cat_Juegos!$D$2:$D$11,"No encontrado")</f>
        <v>Xbox</v>
      </c>
      <c r="G23" t="str">
        <f>Dataset_Principal!D23</f>
        <v>C-001</v>
      </c>
      <c r="H23" t="str">
        <f>_xlfn.XLOOKUP(G23,Cat_Clientes!$A$2:$A$11,Cat_Clientes!$B$2:$B$11,"No encontrado")</f>
        <v>Martín</v>
      </c>
      <c r="I23" t="str">
        <f>_xlfn.XLOOKUP(G23,Cat_Clientes!$A$2:$A$11,Cat_Clientes!$C$2:$C$11,"No encontrado")</f>
        <v>La Plata</v>
      </c>
      <c r="J23">
        <f>Dataset_Principal!E23</f>
        <v>2</v>
      </c>
      <c r="K23">
        <f>Dataset_Principal!F23</f>
        <v>89998</v>
      </c>
    </row>
    <row r="24" spans="1:11">
      <c r="A24" t="str">
        <f>Dataset_Principal!A24</f>
        <v>V-023</v>
      </c>
      <c r="B24" s="32">
        <f>Dataset_Principal!B24</f>
        <v>46257</v>
      </c>
      <c r="C24" t="str">
        <f>Dataset_Principal!C24</f>
        <v>J-002</v>
      </c>
      <c r="D24" t="str">
        <f>_xlfn.XLOOKUP(C24,Cat_Juegos!$A$2:$A$11,Cat_Juegos!$B$2:$B$11,"No encontrado")</f>
        <v>EA Sports FC 26</v>
      </c>
      <c r="E24" t="str">
        <f>_xlfn.XLOOKUP(C24,Cat_Juegos!$A$2:$A$11,Cat_Juegos!$C$2:$C$11,"No encontrado")</f>
        <v>Deportes</v>
      </c>
      <c r="F24" t="str">
        <f>_xlfn.XLOOKUP(C24,Cat_Juegos!$A$2:$A$11,Cat_Juegos!$D$2:$D$11,"No encontrado")</f>
        <v>PS5</v>
      </c>
      <c r="G24" t="str">
        <f>Dataset_Principal!D24</f>
        <v>C-004</v>
      </c>
      <c r="H24" t="str">
        <f>_xlfn.XLOOKUP(G24,Cat_Clientes!$A$2:$A$11,Cat_Clientes!$B$2:$B$11,"No encontrado")</f>
        <v>Camila</v>
      </c>
      <c r="I24" t="str">
        <f>_xlfn.XLOOKUP(G24,Cat_Clientes!$A$2:$A$11,Cat_Clientes!$C$2:$C$11,"No encontrado")</f>
        <v>Mendoza</v>
      </c>
      <c r="J24">
        <f>Dataset_Principal!E24</f>
        <v>3</v>
      </c>
      <c r="K24">
        <f>Dataset_Principal!F24</f>
        <v>209997</v>
      </c>
    </row>
    <row r="25" spans="1:11">
      <c r="A25" t="str">
        <f>Dataset_Principal!A25</f>
        <v>V-024</v>
      </c>
      <c r="B25" s="32">
        <f>Dataset_Principal!B25</f>
        <v>46258</v>
      </c>
      <c r="C25" t="str">
        <f>Dataset_Principal!C25</f>
        <v>J-005</v>
      </c>
      <c r="D25" t="str">
        <f>_xlfn.XLOOKUP(C25,Cat_Juegos!$A$2:$A$11,Cat_Juegos!$B$2:$B$11,"No encontrado")</f>
        <v>The Sims 4</v>
      </c>
      <c r="E25" t="str">
        <f>_xlfn.XLOOKUP(C25,Cat_Juegos!$A$2:$A$11,Cat_Juegos!$C$2:$C$11,"No encontrado")</f>
        <v>Simulación</v>
      </c>
      <c r="F25" t="str">
        <f>_xlfn.XLOOKUP(C25,Cat_Juegos!$A$2:$A$11,Cat_Juegos!$D$2:$D$11,"No encontrado")</f>
        <v>PC</v>
      </c>
      <c r="G25" t="str">
        <f>Dataset_Principal!D25</f>
        <v>C-006</v>
      </c>
      <c r="H25" t="str">
        <f>_xlfn.XLOOKUP(G25,Cat_Clientes!$A$2:$A$11,Cat_Clientes!$B$2:$B$11,"No encontrado")</f>
        <v>Valentina</v>
      </c>
      <c r="I25" t="str">
        <f>_xlfn.XLOOKUP(G25,Cat_Clientes!$A$2:$A$11,Cat_Clientes!$C$2:$C$11,"No encontrado")</f>
        <v>Mar del Plata</v>
      </c>
      <c r="J25">
        <f>Dataset_Principal!E25</f>
        <v>1</v>
      </c>
      <c r="K25">
        <f>Dataset_Principal!F25</f>
        <v>0</v>
      </c>
    </row>
    <row r="26" spans="1:11">
      <c r="A26" t="str">
        <f>Dataset_Principal!A26</f>
        <v>V-025</v>
      </c>
      <c r="B26" s="32">
        <f>Dataset_Principal!B26</f>
        <v>46259</v>
      </c>
      <c r="C26" t="str">
        <f>Dataset_Principal!C26</f>
        <v>J-007</v>
      </c>
      <c r="D26" t="str">
        <f>_xlfn.XLOOKUP(C26,Cat_Juegos!$A$2:$A$11,Cat_Juegos!$B$2:$B$11,"No encontrado")</f>
        <v>Hogwarts Legacy</v>
      </c>
      <c r="E26" t="str">
        <f>_xlfn.XLOOKUP(C26,Cat_Juegos!$A$2:$A$11,Cat_Juegos!$C$2:$C$11,"No encontrado")</f>
        <v>Aventura</v>
      </c>
      <c r="F26" t="str">
        <f>_xlfn.XLOOKUP(C26,Cat_Juegos!$A$2:$A$11,Cat_Juegos!$D$2:$D$11,"No encontrado")</f>
        <v>PS5</v>
      </c>
      <c r="G26" t="str">
        <f>Dataset_Principal!D26</f>
        <v>C-005</v>
      </c>
      <c r="H26" t="str">
        <f>_xlfn.XLOOKUP(G26,Cat_Clientes!$A$2:$A$11,Cat_Clientes!$B$2:$B$11,"No encontrado")</f>
        <v>Tomás</v>
      </c>
      <c r="I26" t="str">
        <f>_xlfn.XLOOKUP(G26,Cat_Clientes!$A$2:$A$11,Cat_Clientes!$C$2:$C$11,"No encontrado")</f>
        <v>La Plata</v>
      </c>
      <c r="J26">
        <f>Dataset_Principal!E26</f>
        <v>1</v>
      </c>
      <c r="K26">
        <f>Dataset_Principal!F26</f>
        <v>49999</v>
      </c>
    </row>
    <row r="27" spans="1:11">
      <c r="A27" t="str">
        <f>Dataset_Principal!A27</f>
        <v>V-026</v>
      </c>
      <c r="B27" s="32">
        <f>Dataset_Principal!B27</f>
        <v>46260</v>
      </c>
      <c r="C27" t="str">
        <f>Dataset_Principal!C27</f>
        <v>J-005</v>
      </c>
      <c r="D27" t="str">
        <f>_xlfn.XLOOKUP(C27,Cat_Juegos!$A$2:$A$11,Cat_Juegos!$B$2:$B$11,"No encontrado")</f>
        <v>The Sims 4</v>
      </c>
      <c r="E27" t="str">
        <f>_xlfn.XLOOKUP(C27,Cat_Juegos!$A$2:$A$11,Cat_Juegos!$C$2:$C$11,"No encontrado")</f>
        <v>Simulación</v>
      </c>
      <c r="F27" t="str">
        <f>_xlfn.XLOOKUP(C27,Cat_Juegos!$A$2:$A$11,Cat_Juegos!$D$2:$D$11,"No encontrado")</f>
        <v>PC</v>
      </c>
      <c r="G27" t="str">
        <f>Dataset_Principal!D27</f>
        <v>C-004</v>
      </c>
      <c r="H27" t="str">
        <f>_xlfn.XLOOKUP(G27,Cat_Clientes!$A$2:$A$11,Cat_Clientes!$B$2:$B$11,"No encontrado")</f>
        <v>Camila</v>
      </c>
      <c r="I27" t="str">
        <f>_xlfn.XLOOKUP(G27,Cat_Clientes!$A$2:$A$11,Cat_Clientes!$C$2:$C$11,"No encontrado")</f>
        <v>Mendoza</v>
      </c>
      <c r="J27">
        <f>Dataset_Principal!E27</f>
        <v>1</v>
      </c>
      <c r="K27">
        <f>Dataset_Principal!F27</f>
        <v>0</v>
      </c>
    </row>
    <row r="28" spans="1:11">
      <c r="A28" t="str">
        <f>Dataset_Principal!A28</f>
        <v>V-027</v>
      </c>
      <c r="B28" s="32">
        <f>Dataset_Principal!B28</f>
        <v>46261</v>
      </c>
      <c r="C28" t="str">
        <f>Dataset_Principal!C28</f>
        <v>J-006</v>
      </c>
      <c r="D28" t="str">
        <f>_xlfn.XLOOKUP(C28,Cat_Juegos!$A$2:$A$11,Cat_Juegos!$B$2:$B$11,"No encontrado")</f>
        <v>Grand Theft Auto V</v>
      </c>
      <c r="E28" t="str">
        <f>_xlfn.XLOOKUP(C28,Cat_Juegos!$A$2:$A$11,Cat_Juegos!$C$2:$C$11,"No encontrado")</f>
        <v>Acción</v>
      </c>
      <c r="F28" t="str">
        <f>_xlfn.XLOOKUP(C28,Cat_Juegos!$A$2:$A$11,Cat_Juegos!$D$2:$D$11,"No encontrado")</f>
        <v>PS5</v>
      </c>
      <c r="G28" t="str">
        <f>Dataset_Principal!D28</f>
        <v>C-006</v>
      </c>
      <c r="H28" t="str">
        <f>_xlfn.XLOOKUP(G28,Cat_Clientes!$A$2:$A$11,Cat_Clientes!$B$2:$B$11,"No encontrado")</f>
        <v>Valentina</v>
      </c>
      <c r="I28" t="str">
        <f>_xlfn.XLOOKUP(G28,Cat_Clientes!$A$2:$A$11,Cat_Clientes!$C$2:$C$11,"No encontrado")</f>
        <v>Mar del Plata</v>
      </c>
      <c r="J28">
        <f>Dataset_Principal!E28</f>
        <v>2</v>
      </c>
      <c r="K28">
        <f>Dataset_Principal!F28</f>
        <v>79998</v>
      </c>
    </row>
    <row r="29" spans="1:11">
      <c r="A29" t="str">
        <f>Dataset_Principal!A29</f>
        <v>V-028</v>
      </c>
      <c r="B29" s="32">
        <f>Dataset_Principal!B29</f>
        <v>46262</v>
      </c>
      <c r="C29" t="str">
        <f>Dataset_Principal!C29</f>
        <v>J-010</v>
      </c>
      <c r="D29" t="str">
        <f>_xlfn.XLOOKUP(C29,Cat_Juegos!$A$2:$A$11,Cat_Juegos!$B$2:$B$11,"No encontrado")</f>
        <v>Stardew Valley</v>
      </c>
      <c r="E29" t="str">
        <f>_xlfn.XLOOKUP(C29,Cat_Juegos!$A$2:$A$11,Cat_Juegos!$C$2:$C$11,"No encontrado")</f>
        <v>Simulación</v>
      </c>
      <c r="F29" t="str">
        <f>_xlfn.XLOOKUP(C29,Cat_Juegos!$A$2:$A$11,Cat_Juegos!$D$2:$D$11,"No encontrado")</f>
        <v>PC</v>
      </c>
      <c r="G29" t="str">
        <f>Dataset_Principal!D29</f>
        <v>C-009</v>
      </c>
      <c r="H29" t="str">
        <f>_xlfn.XLOOKUP(G29,Cat_Clientes!$A$2:$A$11,Cat_Clientes!$B$2:$B$11,"No encontrado")</f>
        <v>Mateo</v>
      </c>
      <c r="I29" t="str">
        <f>_xlfn.XLOOKUP(G29,Cat_Clientes!$A$2:$A$11,Cat_Clientes!$C$2:$C$11,"No encontrado")</f>
        <v>Neuquén</v>
      </c>
      <c r="J29">
        <f>Dataset_Principal!E29</f>
        <v>1</v>
      </c>
      <c r="K29">
        <f>Dataset_Principal!F29</f>
        <v>14999</v>
      </c>
    </row>
    <row r="30" spans="1:11">
      <c r="A30" t="str">
        <f>Dataset_Principal!A30</f>
        <v>V-029</v>
      </c>
      <c r="B30" s="32">
        <f>Dataset_Principal!B30</f>
        <v>46263</v>
      </c>
      <c r="C30" t="str">
        <f>Dataset_Principal!C30</f>
        <v>J-001</v>
      </c>
      <c r="D30" t="str">
        <f>_xlfn.XLOOKUP(C30,Cat_Juegos!$A$2:$A$11,Cat_Juegos!$B$2:$B$11,"No encontrado")</f>
        <v>Minecraft</v>
      </c>
      <c r="E30" t="str">
        <f>_xlfn.XLOOKUP(C30,Cat_Juegos!$A$2:$A$11,Cat_Juegos!$C$2:$C$11,"No encontrado")</f>
        <v>Sandbox</v>
      </c>
      <c r="F30" t="str">
        <f>_xlfn.XLOOKUP(C30,Cat_Juegos!$A$2:$A$11,Cat_Juegos!$D$2:$D$11,"No encontrado")</f>
        <v>PC</v>
      </c>
      <c r="G30" t="str">
        <f>Dataset_Principal!D30</f>
        <v>C-007</v>
      </c>
      <c r="H30" t="str">
        <f>_xlfn.XLOOKUP(G30,Cat_Clientes!$A$2:$A$11,Cat_Clientes!$B$2:$B$11,"No encontrado")</f>
        <v>Nicolás</v>
      </c>
      <c r="I30" t="str">
        <f>_xlfn.XLOOKUP(G30,Cat_Clientes!$A$2:$A$11,Cat_Clientes!$C$2:$C$11,"No encontrado")</f>
        <v>Buenos Aires</v>
      </c>
      <c r="J30">
        <f>Dataset_Principal!E30</f>
        <v>3</v>
      </c>
      <c r="K30">
        <f>Dataset_Principal!F30</f>
        <v>89997</v>
      </c>
    </row>
    <row r="31" spans="1:11">
      <c r="A31" t="str">
        <f>Dataset_Principal!A31</f>
        <v>V-030</v>
      </c>
      <c r="B31" s="32">
        <f>Dataset_Principal!B31</f>
        <v>46264</v>
      </c>
      <c r="C31" t="str">
        <f>Dataset_Principal!C31</f>
        <v>J-007</v>
      </c>
      <c r="D31" t="str">
        <f>_xlfn.XLOOKUP(C31,Cat_Juegos!$A$2:$A$11,Cat_Juegos!$B$2:$B$11,"No encontrado")</f>
        <v>Hogwarts Legacy</v>
      </c>
      <c r="E31" t="str">
        <f>_xlfn.XLOOKUP(C31,Cat_Juegos!$A$2:$A$11,Cat_Juegos!$C$2:$C$11,"No encontrado")</f>
        <v>Aventura</v>
      </c>
      <c r="F31" t="str">
        <f>_xlfn.XLOOKUP(C31,Cat_Juegos!$A$2:$A$11,Cat_Juegos!$D$2:$D$11,"No encontrado")</f>
        <v>PS5</v>
      </c>
      <c r="G31" t="str">
        <f>Dataset_Principal!D31</f>
        <v>C-001</v>
      </c>
      <c r="H31" t="str">
        <f>_xlfn.XLOOKUP(G31,Cat_Clientes!$A$2:$A$11,Cat_Clientes!$B$2:$B$11,"No encontrado")</f>
        <v>Martín</v>
      </c>
      <c r="I31" t="str">
        <f>_xlfn.XLOOKUP(G31,Cat_Clientes!$A$2:$A$11,Cat_Clientes!$C$2:$C$11,"No encontrado")</f>
        <v>La Plata</v>
      </c>
      <c r="J31">
        <f>Dataset_Principal!E31</f>
        <v>2</v>
      </c>
      <c r="K31">
        <f>Dataset_Principal!F31</f>
        <v>99998</v>
      </c>
    </row>
    <row r="32" spans="1:11">
      <c r="A32" t="str">
        <f>Dataset_Principal!A32</f>
        <v>V-031</v>
      </c>
      <c r="B32" s="32">
        <f>Dataset_Principal!B32</f>
        <v>46265</v>
      </c>
      <c r="C32" t="str">
        <f>Dataset_Principal!C32</f>
        <v>J-001</v>
      </c>
      <c r="D32" t="str">
        <f>_xlfn.XLOOKUP(C32,Cat_Juegos!$A$2:$A$11,Cat_Juegos!$B$2:$B$11,"No encontrado")</f>
        <v>Minecraft</v>
      </c>
      <c r="E32" t="str">
        <f>_xlfn.XLOOKUP(C32,Cat_Juegos!$A$2:$A$11,Cat_Juegos!$C$2:$C$11,"No encontrado")</f>
        <v>Sandbox</v>
      </c>
      <c r="F32" t="str">
        <f>_xlfn.XLOOKUP(C32,Cat_Juegos!$A$2:$A$11,Cat_Juegos!$D$2:$D$11,"No encontrado")</f>
        <v>PC</v>
      </c>
      <c r="G32" t="str">
        <f>Dataset_Principal!D32</f>
        <v>C-004</v>
      </c>
      <c r="H32" t="str">
        <f>_xlfn.XLOOKUP(G32,Cat_Clientes!$A$2:$A$11,Cat_Clientes!$B$2:$B$11,"No encontrado")</f>
        <v>Camila</v>
      </c>
      <c r="I32" t="str">
        <f>_xlfn.XLOOKUP(G32,Cat_Clientes!$A$2:$A$11,Cat_Clientes!$C$2:$C$11,"No encontrado")</f>
        <v>Mendoza</v>
      </c>
      <c r="J32">
        <f>Dataset_Principal!E32</f>
        <v>2</v>
      </c>
      <c r="K32">
        <f>Dataset_Principal!F32</f>
        <v>59998</v>
      </c>
    </row>
    <row r="33" spans="1:11">
      <c r="A33" t="str">
        <f>Dataset_Principal!A33</f>
        <v>V-032</v>
      </c>
      <c r="B33" s="32">
        <f>Dataset_Principal!B33</f>
        <v>46235</v>
      </c>
      <c r="C33" t="str">
        <f>Dataset_Principal!C33</f>
        <v>J-007</v>
      </c>
      <c r="D33" t="str">
        <f>_xlfn.XLOOKUP(C33,Cat_Juegos!$A$2:$A$11,Cat_Juegos!$B$2:$B$11,"No encontrado")</f>
        <v>Hogwarts Legacy</v>
      </c>
      <c r="E33" t="str">
        <f>_xlfn.XLOOKUP(C33,Cat_Juegos!$A$2:$A$11,Cat_Juegos!$C$2:$C$11,"No encontrado")</f>
        <v>Aventura</v>
      </c>
      <c r="F33" t="str">
        <f>_xlfn.XLOOKUP(C33,Cat_Juegos!$A$2:$A$11,Cat_Juegos!$D$2:$D$11,"No encontrado")</f>
        <v>PS5</v>
      </c>
      <c r="G33" t="str">
        <f>Dataset_Principal!D33</f>
        <v>C-001</v>
      </c>
      <c r="H33" t="str">
        <f>_xlfn.XLOOKUP(G33,Cat_Clientes!$A$2:$A$11,Cat_Clientes!$B$2:$B$11,"No encontrado")</f>
        <v>Martín</v>
      </c>
      <c r="I33" t="str">
        <f>_xlfn.XLOOKUP(G33,Cat_Clientes!$A$2:$A$11,Cat_Clientes!$C$2:$C$11,"No encontrado")</f>
        <v>La Plata</v>
      </c>
      <c r="J33">
        <f>Dataset_Principal!E33</f>
        <v>1</v>
      </c>
      <c r="K33">
        <f>Dataset_Principal!F33</f>
        <v>49999</v>
      </c>
    </row>
    <row r="34" spans="1:11">
      <c r="A34" t="str">
        <f>Dataset_Principal!A34</f>
        <v>V-033</v>
      </c>
      <c r="B34" s="32">
        <f>Dataset_Principal!B34</f>
        <v>46236</v>
      </c>
      <c r="C34" t="str">
        <f>Dataset_Principal!C34</f>
        <v>J-004</v>
      </c>
      <c r="D34" t="str">
        <f>_xlfn.XLOOKUP(C34,Cat_Juegos!$A$2:$A$11,Cat_Juegos!$B$2:$B$11,"No encontrado")</f>
        <v>Fortnite</v>
      </c>
      <c r="E34" t="str">
        <f>_xlfn.XLOOKUP(C34,Cat_Juegos!$A$2:$A$11,Cat_Juegos!$C$2:$C$11,"No encontrado")</f>
        <v>Battle Royale</v>
      </c>
      <c r="F34" t="str">
        <f>_xlfn.XLOOKUP(C34,Cat_Juegos!$A$2:$A$11,Cat_Juegos!$D$2:$D$11,"No encontrado")</f>
        <v>PC</v>
      </c>
      <c r="G34" t="str">
        <f>Dataset_Principal!D34</f>
        <v>C-010</v>
      </c>
      <c r="H34" t="str">
        <f>_xlfn.XLOOKUP(G34,Cat_Clientes!$A$2:$A$11,Cat_Clientes!$B$2:$B$11,"No encontrado")</f>
        <v>Agustina</v>
      </c>
      <c r="I34" t="str">
        <f>_xlfn.XLOOKUP(G34,Cat_Clientes!$A$2:$A$11,Cat_Clientes!$C$2:$C$11,"No encontrado")</f>
        <v>Tucumán</v>
      </c>
      <c r="J34">
        <f>Dataset_Principal!E34</f>
        <v>1</v>
      </c>
      <c r="K34">
        <f>Dataset_Principal!F34</f>
        <v>0</v>
      </c>
    </row>
    <row r="35" spans="1:11">
      <c r="A35" t="str">
        <f>Dataset_Principal!A35</f>
        <v>V-034</v>
      </c>
      <c r="B35" s="32">
        <f>Dataset_Principal!B35</f>
        <v>46237</v>
      </c>
      <c r="C35" t="str">
        <f>Dataset_Principal!C35</f>
        <v>J-009</v>
      </c>
      <c r="D35" t="str">
        <f>_xlfn.XLOOKUP(C35,Cat_Juegos!$A$2:$A$11,Cat_Juegos!$B$2:$B$11,"No encontrado")</f>
        <v>Forza Horizon 5</v>
      </c>
      <c r="E35" t="str">
        <f>_xlfn.XLOOKUP(C35,Cat_Juegos!$A$2:$A$11,Cat_Juegos!$C$2:$C$11,"No encontrado")</f>
        <v>Carreras</v>
      </c>
      <c r="F35" t="str">
        <f>_xlfn.XLOOKUP(C35,Cat_Juegos!$A$2:$A$11,Cat_Juegos!$D$2:$D$11,"No encontrado")</f>
        <v>Xbox</v>
      </c>
      <c r="G35" t="str">
        <f>Dataset_Principal!D35</f>
        <v>C-004</v>
      </c>
      <c r="H35" t="str">
        <f>_xlfn.XLOOKUP(G35,Cat_Clientes!$A$2:$A$11,Cat_Clientes!$B$2:$B$11,"No encontrado")</f>
        <v>Camila</v>
      </c>
      <c r="I35" t="str">
        <f>_xlfn.XLOOKUP(G35,Cat_Clientes!$A$2:$A$11,Cat_Clientes!$C$2:$C$11,"No encontrado")</f>
        <v>Mendoza</v>
      </c>
      <c r="J35">
        <f>Dataset_Principal!E35</f>
        <v>1</v>
      </c>
      <c r="K35">
        <f>Dataset_Principal!F35</f>
        <v>44999</v>
      </c>
    </row>
    <row r="36" spans="1:11">
      <c r="A36" t="str">
        <f>Dataset_Principal!A36</f>
        <v>V-035</v>
      </c>
      <c r="B36" s="32">
        <f>Dataset_Principal!B36</f>
        <v>46238</v>
      </c>
      <c r="C36" t="str">
        <f>Dataset_Principal!C36</f>
        <v>J-002</v>
      </c>
      <c r="D36" t="str">
        <f>_xlfn.XLOOKUP(C36,Cat_Juegos!$A$2:$A$11,Cat_Juegos!$B$2:$B$11,"No encontrado")</f>
        <v>EA Sports FC 26</v>
      </c>
      <c r="E36" t="str">
        <f>_xlfn.XLOOKUP(C36,Cat_Juegos!$A$2:$A$11,Cat_Juegos!$C$2:$C$11,"No encontrado")</f>
        <v>Deportes</v>
      </c>
      <c r="F36" t="str">
        <f>_xlfn.XLOOKUP(C36,Cat_Juegos!$A$2:$A$11,Cat_Juegos!$D$2:$D$11,"No encontrado")</f>
        <v>PS5</v>
      </c>
      <c r="G36" t="str">
        <f>Dataset_Principal!D36</f>
        <v>C-005</v>
      </c>
      <c r="H36" t="str">
        <f>_xlfn.XLOOKUP(G36,Cat_Clientes!$A$2:$A$11,Cat_Clientes!$B$2:$B$11,"No encontrado")</f>
        <v>Tomás</v>
      </c>
      <c r="I36" t="str">
        <f>_xlfn.XLOOKUP(G36,Cat_Clientes!$A$2:$A$11,Cat_Clientes!$C$2:$C$11,"No encontrado")</f>
        <v>La Plata</v>
      </c>
      <c r="J36">
        <f>Dataset_Principal!E36</f>
        <v>1</v>
      </c>
      <c r="K36">
        <f>Dataset_Principal!F36</f>
        <v>69999</v>
      </c>
    </row>
    <row r="37" spans="1:11">
      <c r="A37" t="str">
        <f>Dataset_Principal!A37</f>
        <v>V-036</v>
      </c>
      <c r="B37" s="32">
        <f>Dataset_Principal!B37</f>
        <v>46239</v>
      </c>
      <c r="C37" t="str">
        <f>Dataset_Principal!C37</f>
        <v>J-007</v>
      </c>
      <c r="D37" t="str">
        <f>_xlfn.XLOOKUP(C37,Cat_Juegos!$A$2:$A$11,Cat_Juegos!$B$2:$B$11,"No encontrado")</f>
        <v>Hogwarts Legacy</v>
      </c>
      <c r="E37" t="str">
        <f>_xlfn.XLOOKUP(C37,Cat_Juegos!$A$2:$A$11,Cat_Juegos!$C$2:$C$11,"No encontrado")</f>
        <v>Aventura</v>
      </c>
      <c r="F37" t="str">
        <f>_xlfn.XLOOKUP(C37,Cat_Juegos!$A$2:$A$11,Cat_Juegos!$D$2:$D$11,"No encontrado")</f>
        <v>PS5</v>
      </c>
      <c r="G37" t="str">
        <f>Dataset_Principal!D37</f>
        <v>C-005</v>
      </c>
      <c r="H37" t="str">
        <f>_xlfn.XLOOKUP(G37,Cat_Clientes!$A$2:$A$11,Cat_Clientes!$B$2:$B$11,"No encontrado")</f>
        <v>Tomás</v>
      </c>
      <c r="I37" t="str">
        <f>_xlfn.XLOOKUP(G37,Cat_Clientes!$A$2:$A$11,Cat_Clientes!$C$2:$C$11,"No encontrado")</f>
        <v>La Plata</v>
      </c>
      <c r="J37">
        <f>Dataset_Principal!E37</f>
        <v>1</v>
      </c>
      <c r="K37">
        <f>Dataset_Principal!F37</f>
        <v>49999</v>
      </c>
    </row>
    <row r="38" spans="1:11">
      <c r="A38" t="str">
        <f>Dataset_Principal!A38</f>
        <v>V-037</v>
      </c>
      <c r="B38" s="32">
        <f>Dataset_Principal!B38</f>
        <v>46240</v>
      </c>
      <c r="C38" t="str">
        <f>Dataset_Principal!C38</f>
        <v>J-006</v>
      </c>
      <c r="D38" t="str">
        <f>_xlfn.XLOOKUP(C38,Cat_Juegos!$A$2:$A$11,Cat_Juegos!$B$2:$B$11,"No encontrado")</f>
        <v>Grand Theft Auto V</v>
      </c>
      <c r="E38" t="str">
        <f>_xlfn.XLOOKUP(C38,Cat_Juegos!$A$2:$A$11,Cat_Juegos!$C$2:$C$11,"No encontrado")</f>
        <v>Acción</v>
      </c>
      <c r="F38" t="str">
        <f>_xlfn.XLOOKUP(C38,Cat_Juegos!$A$2:$A$11,Cat_Juegos!$D$2:$D$11,"No encontrado")</f>
        <v>PS5</v>
      </c>
      <c r="G38" t="str">
        <f>Dataset_Principal!D38</f>
        <v>C-010</v>
      </c>
      <c r="H38" t="str">
        <f>_xlfn.XLOOKUP(G38,Cat_Clientes!$A$2:$A$11,Cat_Clientes!$B$2:$B$11,"No encontrado")</f>
        <v>Agustina</v>
      </c>
      <c r="I38" t="str">
        <f>_xlfn.XLOOKUP(G38,Cat_Clientes!$A$2:$A$11,Cat_Clientes!$C$2:$C$11,"No encontrado")</f>
        <v>Tucumán</v>
      </c>
      <c r="J38">
        <f>Dataset_Principal!E38</f>
        <v>2</v>
      </c>
      <c r="K38">
        <f>Dataset_Principal!F38</f>
        <v>79998</v>
      </c>
    </row>
    <row r="39" spans="1:11">
      <c r="A39" t="str">
        <f>Dataset_Principal!A39</f>
        <v>V-038</v>
      </c>
      <c r="B39" s="32">
        <f>Dataset_Principal!B39</f>
        <v>46241</v>
      </c>
      <c r="C39" t="str">
        <f>Dataset_Principal!C39</f>
        <v>J-001</v>
      </c>
      <c r="D39" t="str">
        <f>_xlfn.XLOOKUP(C39,Cat_Juegos!$A$2:$A$11,Cat_Juegos!$B$2:$B$11,"No encontrado")</f>
        <v>Minecraft</v>
      </c>
      <c r="E39" t="str">
        <f>_xlfn.XLOOKUP(C39,Cat_Juegos!$A$2:$A$11,Cat_Juegos!$C$2:$C$11,"No encontrado")</f>
        <v>Sandbox</v>
      </c>
      <c r="F39" t="str">
        <f>_xlfn.XLOOKUP(C39,Cat_Juegos!$A$2:$A$11,Cat_Juegos!$D$2:$D$11,"No encontrado")</f>
        <v>PC</v>
      </c>
      <c r="G39" t="str">
        <f>Dataset_Principal!D39</f>
        <v>C-009</v>
      </c>
      <c r="H39" t="str">
        <f>_xlfn.XLOOKUP(G39,Cat_Clientes!$A$2:$A$11,Cat_Clientes!$B$2:$B$11,"No encontrado")</f>
        <v>Mateo</v>
      </c>
      <c r="I39" t="str">
        <f>_xlfn.XLOOKUP(G39,Cat_Clientes!$A$2:$A$11,Cat_Clientes!$C$2:$C$11,"No encontrado")</f>
        <v>Neuquén</v>
      </c>
      <c r="J39">
        <f>Dataset_Principal!E39</f>
        <v>1</v>
      </c>
      <c r="K39">
        <f>Dataset_Principal!F39</f>
        <v>29999</v>
      </c>
    </row>
    <row r="40" spans="1:11">
      <c r="A40" t="str">
        <f>Dataset_Principal!A40</f>
        <v>V-039</v>
      </c>
      <c r="B40" s="32">
        <f>Dataset_Principal!B40</f>
        <v>46242</v>
      </c>
      <c r="C40" t="str">
        <f>Dataset_Principal!C40</f>
        <v>J-006</v>
      </c>
      <c r="D40" t="str">
        <f>_xlfn.XLOOKUP(C40,Cat_Juegos!$A$2:$A$11,Cat_Juegos!$B$2:$B$11,"No encontrado")</f>
        <v>Grand Theft Auto V</v>
      </c>
      <c r="E40" t="str">
        <f>_xlfn.XLOOKUP(C40,Cat_Juegos!$A$2:$A$11,Cat_Juegos!$C$2:$C$11,"No encontrado")</f>
        <v>Acción</v>
      </c>
      <c r="F40" t="str">
        <f>_xlfn.XLOOKUP(C40,Cat_Juegos!$A$2:$A$11,Cat_Juegos!$D$2:$D$11,"No encontrado")</f>
        <v>PS5</v>
      </c>
      <c r="G40" t="str">
        <f>Dataset_Principal!D40</f>
        <v>C-004</v>
      </c>
      <c r="H40" t="str">
        <f>_xlfn.XLOOKUP(G40,Cat_Clientes!$A$2:$A$11,Cat_Clientes!$B$2:$B$11,"No encontrado")</f>
        <v>Camila</v>
      </c>
      <c r="I40" t="str">
        <f>_xlfn.XLOOKUP(G40,Cat_Clientes!$A$2:$A$11,Cat_Clientes!$C$2:$C$11,"No encontrado")</f>
        <v>Mendoza</v>
      </c>
      <c r="J40">
        <f>Dataset_Principal!E40</f>
        <v>1</v>
      </c>
      <c r="K40">
        <f>Dataset_Principal!F40</f>
        <v>39999</v>
      </c>
    </row>
    <row r="41" spans="1:11">
      <c r="A41" t="str">
        <f>Dataset_Principal!A41</f>
        <v>V-040</v>
      </c>
      <c r="B41" s="32">
        <f>Dataset_Principal!B41</f>
        <v>46243</v>
      </c>
      <c r="C41" t="str">
        <f>Dataset_Principal!C41</f>
        <v>J-005</v>
      </c>
      <c r="D41" t="str">
        <f>_xlfn.XLOOKUP(C41,Cat_Juegos!$A$2:$A$11,Cat_Juegos!$B$2:$B$11,"No encontrado")</f>
        <v>The Sims 4</v>
      </c>
      <c r="E41" t="str">
        <f>_xlfn.XLOOKUP(C41,Cat_Juegos!$A$2:$A$11,Cat_Juegos!$C$2:$C$11,"No encontrado")</f>
        <v>Simulación</v>
      </c>
      <c r="F41" t="str">
        <f>_xlfn.XLOOKUP(C41,Cat_Juegos!$A$2:$A$11,Cat_Juegos!$D$2:$D$11,"No encontrado")</f>
        <v>PC</v>
      </c>
      <c r="G41" t="str">
        <f>Dataset_Principal!D41</f>
        <v>C-008</v>
      </c>
      <c r="H41" t="str">
        <f>_xlfn.XLOOKUP(G41,Cat_Clientes!$A$2:$A$11,Cat_Clientes!$B$2:$B$11,"No encontrado")</f>
        <v>Julieta</v>
      </c>
      <c r="I41" t="str">
        <f>_xlfn.XLOOKUP(G41,Cat_Clientes!$A$2:$A$11,Cat_Clientes!$C$2:$C$11,"No encontrado")</f>
        <v>Santa Fe</v>
      </c>
      <c r="J41">
        <f>Dataset_Principal!E41</f>
        <v>1</v>
      </c>
      <c r="K41">
        <f>Dataset_Principal!F41</f>
        <v>0</v>
      </c>
    </row>
    <row r="42" spans="1:11">
      <c r="A42" t="str">
        <f>Dataset_Principal!A42</f>
        <v>V-041</v>
      </c>
      <c r="B42" s="32">
        <f>Dataset_Principal!B42</f>
        <v>46244</v>
      </c>
      <c r="C42" t="str">
        <f>Dataset_Principal!C42</f>
        <v>J-008</v>
      </c>
      <c r="D42" t="str">
        <f>_xlfn.XLOOKUP(C42,Cat_Juegos!$A$2:$A$11,Cat_Juegos!$B$2:$B$11,"No encontrado")</f>
        <v>Super Mario Bros. Wonder</v>
      </c>
      <c r="E42" t="str">
        <f>_xlfn.XLOOKUP(C42,Cat_Juegos!$A$2:$A$11,Cat_Juegos!$C$2:$C$11,"No encontrado")</f>
        <v>Plataformas</v>
      </c>
      <c r="F42" t="str">
        <f>_xlfn.XLOOKUP(C42,Cat_Juegos!$A$2:$A$11,Cat_Juegos!$D$2:$D$11,"No encontrado")</f>
        <v>Nintendo Switch</v>
      </c>
      <c r="G42" t="str">
        <f>Dataset_Principal!D42</f>
        <v>C-004</v>
      </c>
      <c r="H42" t="str">
        <f>_xlfn.XLOOKUP(G42,Cat_Clientes!$A$2:$A$11,Cat_Clientes!$B$2:$B$11,"No encontrado")</f>
        <v>Camila</v>
      </c>
      <c r="I42" t="str">
        <f>_xlfn.XLOOKUP(G42,Cat_Clientes!$A$2:$A$11,Cat_Clientes!$C$2:$C$11,"No encontrado")</f>
        <v>Mendoza</v>
      </c>
      <c r="J42">
        <f>Dataset_Principal!E42</f>
        <v>1</v>
      </c>
      <c r="K42">
        <f>Dataset_Principal!F42</f>
        <v>59999</v>
      </c>
    </row>
    <row r="43" spans="1:11">
      <c r="A43" t="str">
        <f>Dataset_Principal!A43</f>
        <v>V-042</v>
      </c>
      <c r="B43" s="32">
        <f>Dataset_Principal!B43</f>
        <v>46245</v>
      </c>
      <c r="C43" t="str">
        <f>Dataset_Principal!C43</f>
        <v>J-008</v>
      </c>
      <c r="D43" t="str">
        <f>_xlfn.XLOOKUP(C43,Cat_Juegos!$A$2:$A$11,Cat_Juegos!$B$2:$B$11,"No encontrado")</f>
        <v>Super Mario Bros. Wonder</v>
      </c>
      <c r="E43" t="str">
        <f>_xlfn.XLOOKUP(C43,Cat_Juegos!$A$2:$A$11,Cat_Juegos!$C$2:$C$11,"No encontrado")</f>
        <v>Plataformas</v>
      </c>
      <c r="F43" t="str">
        <f>_xlfn.XLOOKUP(C43,Cat_Juegos!$A$2:$A$11,Cat_Juegos!$D$2:$D$11,"No encontrado")</f>
        <v>Nintendo Switch</v>
      </c>
      <c r="G43" t="str">
        <f>Dataset_Principal!D43</f>
        <v>C-009</v>
      </c>
      <c r="H43" t="str">
        <f>_xlfn.XLOOKUP(G43,Cat_Clientes!$A$2:$A$11,Cat_Clientes!$B$2:$B$11,"No encontrado")</f>
        <v>Mateo</v>
      </c>
      <c r="I43" t="str">
        <f>_xlfn.XLOOKUP(G43,Cat_Clientes!$A$2:$A$11,Cat_Clientes!$C$2:$C$11,"No encontrado")</f>
        <v>Neuquén</v>
      </c>
      <c r="J43">
        <f>Dataset_Principal!E43</f>
        <v>1</v>
      </c>
      <c r="K43">
        <f>Dataset_Principal!F43</f>
        <v>59999</v>
      </c>
    </row>
    <row r="44" spans="1:11">
      <c r="A44" t="str">
        <f>Dataset_Principal!A44</f>
        <v>V-043</v>
      </c>
      <c r="B44" s="32">
        <f>Dataset_Principal!B44</f>
        <v>46246</v>
      </c>
      <c r="C44" t="str">
        <f>Dataset_Principal!C44</f>
        <v>J-003</v>
      </c>
      <c r="D44" t="str">
        <f>_xlfn.XLOOKUP(C44,Cat_Juegos!$A$2:$A$11,Cat_Juegos!$B$2:$B$11,"No encontrado")</f>
        <v>Mario Kart 8 Deluxe</v>
      </c>
      <c r="E44" t="str">
        <f>_xlfn.XLOOKUP(C44,Cat_Juegos!$A$2:$A$11,Cat_Juegos!$C$2:$C$11,"No encontrado")</f>
        <v>Carreras</v>
      </c>
      <c r="F44" t="str">
        <f>_xlfn.XLOOKUP(C44,Cat_Juegos!$A$2:$A$11,Cat_Juegos!$D$2:$D$11,"No encontrado")</f>
        <v>Nintendo Switch</v>
      </c>
      <c r="G44" t="str">
        <f>Dataset_Principal!D44</f>
        <v>C-004</v>
      </c>
      <c r="H44" t="str">
        <f>_xlfn.XLOOKUP(G44,Cat_Clientes!$A$2:$A$11,Cat_Clientes!$B$2:$B$11,"No encontrado")</f>
        <v>Camila</v>
      </c>
      <c r="I44" t="str">
        <f>_xlfn.XLOOKUP(G44,Cat_Clientes!$A$2:$A$11,Cat_Clientes!$C$2:$C$11,"No encontrado")</f>
        <v>Mendoza</v>
      </c>
      <c r="J44">
        <f>Dataset_Principal!E44</f>
        <v>3</v>
      </c>
      <c r="K44">
        <f>Dataset_Principal!F44</f>
        <v>179997</v>
      </c>
    </row>
    <row r="45" spans="1:11">
      <c r="A45" t="str">
        <f>Dataset_Principal!A45</f>
        <v>V-044</v>
      </c>
      <c r="B45" s="32">
        <f>Dataset_Principal!B45</f>
        <v>46247</v>
      </c>
      <c r="C45" t="str">
        <f>Dataset_Principal!C45</f>
        <v>J-004</v>
      </c>
      <c r="D45" t="str">
        <f>_xlfn.XLOOKUP(C45,Cat_Juegos!$A$2:$A$11,Cat_Juegos!$B$2:$B$11,"No encontrado")</f>
        <v>Fortnite</v>
      </c>
      <c r="E45" t="str">
        <f>_xlfn.XLOOKUP(C45,Cat_Juegos!$A$2:$A$11,Cat_Juegos!$C$2:$C$11,"No encontrado")</f>
        <v>Battle Royale</v>
      </c>
      <c r="F45" t="str">
        <f>_xlfn.XLOOKUP(C45,Cat_Juegos!$A$2:$A$11,Cat_Juegos!$D$2:$D$11,"No encontrado")</f>
        <v>PC</v>
      </c>
      <c r="G45" t="str">
        <f>Dataset_Principal!D45</f>
        <v>C-010</v>
      </c>
      <c r="H45" t="str">
        <f>_xlfn.XLOOKUP(G45,Cat_Clientes!$A$2:$A$11,Cat_Clientes!$B$2:$B$11,"No encontrado")</f>
        <v>Agustina</v>
      </c>
      <c r="I45" t="str">
        <f>_xlfn.XLOOKUP(G45,Cat_Clientes!$A$2:$A$11,Cat_Clientes!$C$2:$C$11,"No encontrado")</f>
        <v>Tucumán</v>
      </c>
      <c r="J45">
        <f>Dataset_Principal!E45</f>
        <v>1</v>
      </c>
      <c r="K45">
        <f>Dataset_Principal!F45</f>
        <v>0</v>
      </c>
    </row>
    <row r="46" spans="1:11">
      <c r="A46" t="str">
        <f>Dataset_Principal!A46</f>
        <v>V-045</v>
      </c>
      <c r="B46" s="32">
        <f>Dataset_Principal!B46</f>
        <v>46248</v>
      </c>
      <c r="C46" t="str">
        <f>Dataset_Principal!C46</f>
        <v>J-005</v>
      </c>
      <c r="D46" t="str">
        <f>_xlfn.XLOOKUP(C46,Cat_Juegos!$A$2:$A$11,Cat_Juegos!$B$2:$B$11,"No encontrado")</f>
        <v>The Sims 4</v>
      </c>
      <c r="E46" t="str">
        <f>_xlfn.XLOOKUP(C46,Cat_Juegos!$A$2:$A$11,Cat_Juegos!$C$2:$C$11,"No encontrado")</f>
        <v>Simulación</v>
      </c>
      <c r="F46" t="str">
        <f>_xlfn.XLOOKUP(C46,Cat_Juegos!$A$2:$A$11,Cat_Juegos!$D$2:$D$11,"No encontrado")</f>
        <v>PC</v>
      </c>
      <c r="G46" t="str">
        <f>Dataset_Principal!D46</f>
        <v>C-006</v>
      </c>
      <c r="H46" t="str">
        <f>_xlfn.XLOOKUP(G46,Cat_Clientes!$A$2:$A$11,Cat_Clientes!$B$2:$B$11,"No encontrado")</f>
        <v>Valentina</v>
      </c>
      <c r="I46" t="str">
        <f>_xlfn.XLOOKUP(G46,Cat_Clientes!$A$2:$A$11,Cat_Clientes!$C$2:$C$11,"No encontrado")</f>
        <v>Mar del Plata</v>
      </c>
      <c r="J46">
        <f>Dataset_Principal!E46</f>
        <v>1</v>
      </c>
      <c r="K46">
        <f>Dataset_Principal!F46</f>
        <v>0</v>
      </c>
    </row>
    <row r="47" spans="1:11">
      <c r="A47" t="str">
        <f>Dataset_Principal!A47</f>
        <v>V-046</v>
      </c>
      <c r="B47" s="32">
        <f>Dataset_Principal!B47</f>
        <v>46249</v>
      </c>
      <c r="C47" t="str">
        <f>Dataset_Principal!C47</f>
        <v>J-004</v>
      </c>
      <c r="D47" t="str">
        <f>_xlfn.XLOOKUP(C47,Cat_Juegos!$A$2:$A$11,Cat_Juegos!$B$2:$B$11,"No encontrado")</f>
        <v>Fortnite</v>
      </c>
      <c r="E47" t="str">
        <f>_xlfn.XLOOKUP(C47,Cat_Juegos!$A$2:$A$11,Cat_Juegos!$C$2:$C$11,"No encontrado")</f>
        <v>Battle Royale</v>
      </c>
      <c r="F47" t="str">
        <f>_xlfn.XLOOKUP(C47,Cat_Juegos!$A$2:$A$11,Cat_Juegos!$D$2:$D$11,"No encontrado")</f>
        <v>PC</v>
      </c>
      <c r="G47" t="str">
        <f>Dataset_Principal!D47</f>
        <v>C-001</v>
      </c>
      <c r="H47" t="str">
        <f>_xlfn.XLOOKUP(G47,Cat_Clientes!$A$2:$A$11,Cat_Clientes!$B$2:$B$11,"No encontrado")</f>
        <v>Martín</v>
      </c>
      <c r="I47" t="str">
        <f>_xlfn.XLOOKUP(G47,Cat_Clientes!$A$2:$A$11,Cat_Clientes!$C$2:$C$11,"No encontrado")</f>
        <v>La Plata</v>
      </c>
      <c r="J47">
        <f>Dataset_Principal!E47</f>
        <v>2</v>
      </c>
      <c r="K47">
        <f>Dataset_Principal!F47</f>
        <v>0</v>
      </c>
    </row>
    <row r="48" spans="1:11">
      <c r="A48" t="str">
        <f>Dataset_Principal!A48</f>
        <v>V-047</v>
      </c>
      <c r="B48" s="32">
        <f>Dataset_Principal!B48</f>
        <v>46250</v>
      </c>
      <c r="C48" t="str">
        <f>Dataset_Principal!C48</f>
        <v>J-001</v>
      </c>
      <c r="D48" t="str">
        <f>_xlfn.XLOOKUP(C48,Cat_Juegos!$A$2:$A$11,Cat_Juegos!$B$2:$B$11,"No encontrado")</f>
        <v>Minecraft</v>
      </c>
      <c r="E48" t="str">
        <f>_xlfn.XLOOKUP(C48,Cat_Juegos!$A$2:$A$11,Cat_Juegos!$C$2:$C$11,"No encontrado")</f>
        <v>Sandbox</v>
      </c>
      <c r="F48" t="str">
        <f>_xlfn.XLOOKUP(C48,Cat_Juegos!$A$2:$A$11,Cat_Juegos!$D$2:$D$11,"No encontrado")</f>
        <v>PC</v>
      </c>
      <c r="G48" t="str">
        <f>Dataset_Principal!D48</f>
        <v>C-004</v>
      </c>
      <c r="H48" t="str">
        <f>_xlfn.XLOOKUP(G48,Cat_Clientes!$A$2:$A$11,Cat_Clientes!$B$2:$B$11,"No encontrado")</f>
        <v>Camila</v>
      </c>
      <c r="I48" t="str">
        <f>_xlfn.XLOOKUP(G48,Cat_Clientes!$A$2:$A$11,Cat_Clientes!$C$2:$C$11,"No encontrado")</f>
        <v>Mendoza</v>
      </c>
      <c r="J48">
        <f>Dataset_Principal!E48</f>
        <v>2</v>
      </c>
      <c r="K48">
        <f>Dataset_Principal!F48</f>
        <v>59998</v>
      </c>
    </row>
    <row r="49" spans="1:11">
      <c r="A49" t="str">
        <f>Dataset_Principal!A49</f>
        <v>V-048</v>
      </c>
      <c r="B49" s="32">
        <f>Dataset_Principal!B49</f>
        <v>46251</v>
      </c>
      <c r="C49" t="str">
        <f>Dataset_Principal!C49</f>
        <v>J-002</v>
      </c>
      <c r="D49" t="str">
        <f>_xlfn.XLOOKUP(C49,Cat_Juegos!$A$2:$A$11,Cat_Juegos!$B$2:$B$11,"No encontrado")</f>
        <v>EA Sports FC 26</v>
      </c>
      <c r="E49" t="str">
        <f>_xlfn.XLOOKUP(C49,Cat_Juegos!$A$2:$A$11,Cat_Juegos!$C$2:$C$11,"No encontrado")</f>
        <v>Deportes</v>
      </c>
      <c r="F49" t="str">
        <f>_xlfn.XLOOKUP(C49,Cat_Juegos!$A$2:$A$11,Cat_Juegos!$D$2:$D$11,"No encontrado")</f>
        <v>PS5</v>
      </c>
      <c r="G49" t="str">
        <f>Dataset_Principal!D49</f>
        <v>C-006</v>
      </c>
      <c r="H49" t="str">
        <f>_xlfn.XLOOKUP(G49,Cat_Clientes!$A$2:$A$11,Cat_Clientes!$B$2:$B$11,"No encontrado")</f>
        <v>Valentina</v>
      </c>
      <c r="I49" t="str">
        <f>_xlfn.XLOOKUP(G49,Cat_Clientes!$A$2:$A$11,Cat_Clientes!$C$2:$C$11,"No encontrado")</f>
        <v>Mar del Plata</v>
      </c>
      <c r="J49">
        <f>Dataset_Principal!E49</f>
        <v>2</v>
      </c>
      <c r="K49">
        <f>Dataset_Principal!F49</f>
        <v>139998</v>
      </c>
    </row>
    <row r="50" spans="1:11">
      <c r="A50" t="str">
        <f>Dataset_Principal!A50</f>
        <v>V-049</v>
      </c>
      <c r="B50" s="32">
        <f>Dataset_Principal!B50</f>
        <v>46252</v>
      </c>
      <c r="C50" t="str">
        <f>Dataset_Principal!C50</f>
        <v>J-009</v>
      </c>
      <c r="D50" t="str">
        <f>_xlfn.XLOOKUP(C50,Cat_Juegos!$A$2:$A$11,Cat_Juegos!$B$2:$B$11,"No encontrado")</f>
        <v>Forza Horizon 5</v>
      </c>
      <c r="E50" t="str">
        <f>_xlfn.XLOOKUP(C50,Cat_Juegos!$A$2:$A$11,Cat_Juegos!$C$2:$C$11,"No encontrado")</f>
        <v>Carreras</v>
      </c>
      <c r="F50" t="str">
        <f>_xlfn.XLOOKUP(C50,Cat_Juegos!$A$2:$A$11,Cat_Juegos!$D$2:$D$11,"No encontrado")</f>
        <v>Xbox</v>
      </c>
      <c r="G50" t="str">
        <f>Dataset_Principal!D50</f>
        <v>C-003</v>
      </c>
      <c r="H50" t="str">
        <f>_xlfn.XLOOKUP(G50,Cat_Clientes!$A$2:$A$11,Cat_Clientes!$B$2:$B$11,"No encontrado")</f>
        <v>Lucas</v>
      </c>
      <c r="I50" t="str">
        <f>_xlfn.XLOOKUP(G50,Cat_Clientes!$A$2:$A$11,Cat_Clientes!$C$2:$C$11,"No encontrado")</f>
        <v>Rosario</v>
      </c>
      <c r="J50">
        <f>Dataset_Principal!E50</f>
        <v>1</v>
      </c>
      <c r="K50">
        <f>Dataset_Principal!F50</f>
        <v>44999</v>
      </c>
    </row>
    <row r="51" spans="1:11">
      <c r="A51" t="str">
        <f>Dataset_Principal!A51</f>
        <v>V-050</v>
      </c>
      <c r="B51" s="32">
        <f>Dataset_Principal!B51</f>
        <v>46253</v>
      </c>
      <c r="C51" t="str">
        <f>Dataset_Principal!C51</f>
        <v>J-006</v>
      </c>
      <c r="D51" t="str">
        <f>_xlfn.XLOOKUP(C51,Cat_Juegos!$A$2:$A$11,Cat_Juegos!$B$2:$B$11,"No encontrado")</f>
        <v>Grand Theft Auto V</v>
      </c>
      <c r="E51" t="str">
        <f>_xlfn.XLOOKUP(C51,Cat_Juegos!$A$2:$A$11,Cat_Juegos!$C$2:$C$11,"No encontrado")</f>
        <v>Acción</v>
      </c>
      <c r="F51" t="str">
        <f>_xlfn.XLOOKUP(C51,Cat_Juegos!$A$2:$A$11,Cat_Juegos!$D$2:$D$11,"No encontrado")</f>
        <v>PS5</v>
      </c>
      <c r="G51" t="str">
        <f>Dataset_Principal!D51</f>
        <v>C-005</v>
      </c>
      <c r="H51" t="str">
        <f>_xlfn.XLOOKUP(G51,Cat_Clientes!$A$2:$A$11,Cat_Clientes!$B$2:$B$11,"No encontrado")</f>
        <v>Tomás</v>
      </c>
      <c r="I51" t="str">
        <f>_xlfn.XLOOKUP(G51,Cat_Clientes!$A$2:$A$11,Cat_Clientes!$C$2:$C$11,"No encontrado")</f>
        <v>La Plata</v>
      </c>
      <c r="J51">
        <f>Dataset_Principal!E51</f>
        <v>2</v>
      </c>
      <c r="K51">
        <f>Dataset_Principal!F51</f>
        <v>79998</v>
      </c>
    </row>
  </sheetData>
  <pageMargins left="0.7" right="0.7" top="0.75" bottom="0.75" header="0.3" footer="0.3"/>
  <pageSetup orientation="portrait" verticalDpi="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63A9-FDB9-4B86-B6BB-56CD1EB4E736}">
  <sheetPr codeName="Hoja19"/>
  <dimension ref="A1:K7"/>
  <sheetViews>
    <sheetView workbookViewId="0">
      <selection activeCell="F7" sqref="F7"/>
    </sheetView>
  </sheetViews>
  <sheetFormatPr baseColWidth="10" defaultRowHeight="13.8"/>
  <cols>
    <col min="1" max="3" width="11.296875" bestFit="1" customWidth="1"/>
    <col min="4" max="4" width="12.8984375" bestFit="1" customWidth="1"/>
    <col min="5" max="5" width="11.296875" bestFit="1" customWidth="1"/>
    <col min="6" max="6" width="12.296875" bestFit="1" customWidth="1"/>
    <col min="7" max="7" width="11.8984375" bestFit="1" customWidth="1"/>
    <col min="8" max="8" width="11.296875" bestFit="1" customWidth="1"/>
    <col min="9" max="9" width="11.5" bestFit="1" customWidth="1"/>
    <col min="10" max="10" width="11.296875" bestFit="1" customWidth="1"/>
    <col min="11" max="11" width="13.296875" bestFit="1" customWidth="1"/>
  </cols>
  <sheetData>
    <row r="1" spans="1:11">
      <c r="A1" s="8" t="s">
        <v>272</v>
      </c>
    </row>
    <row r="3" spans="1:11">
      <c r="A3" t="s">
        <v>0</v>
      </c>
      <c r="B3" t="s">
        <v>1</v>
      </c>
      <c r="C3" t="s">
        <v>2</v>
      </c>
      <c r="D3" t="s">
        <v>97</v>
      </c>
      <c r="E3" t="s">
        <v>98</v>
      </c>
      <c r="F3" t="s">
        <v>99</v>
      </c>
      <c r="G3" t="s">
        <v>3</v>
      </c>
      <c r="H3" t="s">
        <v>238</v>
      </c>
      <c r="I3" t="s">
        <v>124</v>
      </c>
      <c r="J3" t="s">
        <v>4</v>
      </c>
      <c r="K3" t="s">
        <v>5</v>
      </c>
    </row>
    <row r="4" spans="1:11">
      <c r="A4" t="s">
        <v>72</v>
      </c>
      <c r="B4" s="32">
        <v>46250</v>
      </c>
      <c r="C4" t="s">
        <v>54</v>
      </c>
      <c r="D4" t="s">
        <v>101</v>
      </c>
      <c r="E4" t="s">
        <v>102</v>
      </c>
      <c r="F4" t="s">
        <v>103</v>
      </c>
      <c r="G4" t="s">
        <v>33</v>
      </c>
      <c r="H4" t="s">
        <v>131</v>
      </c>
      <c r="I4" t="s">
        <v>132</v>
      </c>
      <c r="J4">
        <v>2</v>
      </c>
      <c r="K4">
        <v>59998</v>
      </c>
    </row>
    <row r="5" spans="1:11">
      <c r="A5" t="s">
        <v>63</v>
      </c>
      <c r="B5" s="32">
        <v>46241</v>
      </c>
      <c r="C5" t="s">
        <v>54</v>
      </c>
      <c r="D5" t="s">
        <v>101</v>
      </c>
      <c r="E5" t="s">
        <v>102</v>
      </c>
      <c r="F5" t="s">
        <v>103</v>
      </c>
      <c r="G5" t="s">
        <v>41</v>
      </c>
      <c r="H5" t="s">
        <v>140</v>
      </c>
      <c r="I5" t="s">
        <v>141</v>
      </c>
      <c r="J5">
        <v>1</v>
      </c>
      <c r="K5">
        <v>29999</v>
      </c>
    </row>
    <row r="6" spans="1:11">
      <c r="A6" t="s">
        <v>56</v>
      </c>
      <c r="B6" s="32">
        <v>46265</v>
      </c>
      <c r="C6" t="s">
        <v>54</v>
      </c>
      <c r="D6" t="s">
        <v>101</v>
      </c>
      <c r="E6" t="s">
        <v>102</v>
      </c>
      <c r="F6" t="s">
        <v>103</v>
      </c>
      <c r="G6" t="s">
        <v>33</v>
      </c>
      <c r="H6" t="s">
        <v>131</v>
      </c>
      <c r="I6" t="s">
        <v>132</v>
      </c>
      <c r="J6">
        <v>2</v>
      </c>
      <c r="K6">
        <v>59998</v>
      </c>
    </row>
    <row r="7" spans="1:11">
      <c r="A7" t="s">
        <v>53</v>
      </c>
      <c r="B7" s="32">
        <v>46263</v>
      </c>
      <c r="C7" t="s">
        <v>54</v>
      </c>
      <c r="D7" t="s">
        <v>101</v>
      </c>
      <c r="E7" t="s">
        <v>102</v>
      </c>
      <c r="F7" t="s">
        <v>103</v>
      </c>
      <c r="G7" t="s">
        <v>29</v>
      </c>
      <c r="H7" t="s">
        <v>136</v>
      </c>
      <c r="I7" t="s">
        <v>137</v>
      </c>
      <c r="J7">
        <v>3</v>
      </c>
      <c r="K7">
        <v>89997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7DE7-D267-4F2F-9F9E-2CE13D1E6DD8}">
  <sheetPr codeName="Hoja15"/>
  <dimension ref="A3:H14"/>
  <sheetViews>
    <sheetView zoomScale="80" zoomScaleNormal="80" workbookViewId="0">
      <selection activeCell="B10" sqref="B10"/>
    </sheetView>
  </sheetViews>
  <sheetFormatPr baseColWidth="10" defaultRowHeight="13.8"/>
  <cols>
    <col min="1" max="1" width="28" bestFit="1" customWidth="1"/>
    <col min="2" max="2" width="19.59765625" bestFit="1" customWidth="1"/>
    <col min="4" max="4" width="27.3984375" bestFit="1" customWidth="1"/>
    <col min="5" max="5" width="19.59765625" bestFit="1" customWidth="1"/>
    <col min="7" max="7" width="24.19921875" bestFit="1" customWidth="1"/>
    <col min="8" max="8" width="19.59765625" bestFit="1" customWidth="1"/>
  </cols>
  <sheetData>
    <row r="3" spans="1:8">
      <c r="A3" s="34" t="s">
        <v>241</v>
      </c>
      <c r="B3" t="s">
        <v>240</v>
      </c>
      <c r="D3" s="34" t="s">
        <v>242</v>
      </c>
      <c r="E3" t="s">
        <v>240</v>
      </c>
      <c r="G3" s="34" t="s">
        <v>243</v>
      </c>
      <c r="H3" t="s">
        <v>240</v>
      </c>
    </row>
    <row r="4" spans="1:8">
      <c r="A4" s="35" t="s">
        <v>104</v>
      </c>
      <c r="B4">
        <v>629991</v>
      </c>
      <c r="D4" s="35" t="s">
        <v>109</v>
      </c>
      <c r="E4">
        <v>959984</v>
      </c>
      <c r="G4" s="35" t="s">
        <v>137</v>
      </c>
      <c r="H4">
        <v>349992</v>
      </c>
    </row>
    <row r="5" spans="1:8">
      <c r="A5" s="35" t="s">
        <v>110</v>
      </c>
      <c r="B5">
        <v>0</v>
      </c>
      <c r="D5" s="35" t="s">
        <v>103</v>
      </c>
      <c r="E5">
        <v>269990</v>
      </c>
      <c r="G5" s="35" t="s">
        <v>128</v>
      </c>
      <c r="H5">
        <v>0</v>
      </c>
    </row>
    <row r="6" spans="1:8">
      <c r="A6" s="35" t="s">
        <v>120</v>
      </c>
      <c r="B6">
        <v>359992</v>
      </c>
      <c r="D6" s="35" t="s">
        <v>106</v>
      </c>
      <c r="E6">
        <v>1649968</v>
      </c>
      <c r="G6" s="35" t="s">
        <v>126</v>
      </c>
      <c r="H6">
        <v>1059980</v>
      </c>
    </row>
    <row r="7" spans="1:8">
      <c r="A7" s="35" t="s">
        <v>114</v>
      </c>
      <c r="B7">
        <v>519987</v>
      </c>
      <c r="D7" s="35" t="s">
        <v>121</v>
      </c>
      <c r="E7">
        <v>359992</v>
      </c>
      <c r="G7" s="35" t="s">
        <v>135</v>
      </c>
      <c r="H7">
        <v>264995</v>
      </c>
    </row>
    <row r="8" spans="1:8">
      <c r="A8" s="35" t="s">
        <v>116</v>
      </c>
      <c r="B8">
        <v>499990</v>
      </c>
      <c r="D8" s="35" t="s">
        <v>239</v>
      </c>
      <c r="E8">
        <v>3239934</v>
      </c>
      <c r="G8" s="35" t="s">
        <v>132</v>
      </c>
      <c r="H8">
        <v>699986</v>
      </c>
    </row>
    <row r="9" spans="1:8">
      <c r="A9" s="35" t="s">
        <v>107</v>
      </c>
      <c r="B9">
        <v>479992</v>
      </c>
      <c r="G9" s="35" t="s">
        <v>141</v>
      </c>
      <c r="H9">
        <v>284994</v>
      </c>
    </row>
    <row r="10" spans="1:8">
      <c r="A10" s="35" t="s">
        <v>101</v>
      </c>
      <c r="B10">
        <v>239992</v>
      </c>
      <c r="G10" s="35" t="s">
        <v>130</v>
      </c>
      <c r="H10">
        <v>199995</v>
      </c>
    </row>
    <row r="11" spans="1:8">
      <c r="A11" s="35" t="s">
        <v>122</v>
      </c>
      <c r="B11">
        <v>29998</v>
      </c>
      <c r="G11" s="35" t="s">
        <v>139</v>
      </c>
      <c r="H11">
        <v>49999</v>
      </c>
    </row>
    <row r="12" spans="1:8">
      <c r="A12" s="35" t="s">
        <v>118</v>
      </c>
      <c r="B12">
        <v>479992</v>
      </c>
      <c r="G12" s="35" t="s">
        <v>143</v>
      </c>
      <c r="H12">
        <v>329993</v>
      </c>
    </row>
    <row r="13" spans="1:8">
      <c r="A13" s="35" t="s">
        <v>112</v>
      </c>
      <c r="B13">
        <v>0</v>
      </c>
      <c r="G13" s="35" t="s">
        <v>239</v>
      </c>
      <c r="H13">
        <v>3239934</v>
      </c>
    </row>
    <row r="14" spans="1:8">
      <c r="A14" s="35" t="s">
        <v>239</v>
      </c>
      <c r="B14">
        <v>3239934</v>
      </c>
    </row>
  </sheetData>
  <conditionalFormatting pivot="1" sqref="B4:B13">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E4E7-423D-452F-B328-FDB81D0FCB8A}">
  <sheetPr codeName="Hoja16"/>
  <dimension ref="A1:C11"/>
  <sheetViews>
    <sheetView workbookViewId="0">
      <selection activeCell="C6" sqref="C6"/>
    </sheetView>
  </sheetViews>
  <sheetFormatPr baseColWidth="10" defaultRowHeight="13.8"/>
  <cols>
    <col min="1" max="1" width="11.59765625" customWidth="1"/>
    <col min="2" max="2" width="14.19921875" customWidth="1"/>
    <col min="3" max="3" width="18" customWidth="1"/>
  </cols>
  <sheetData>
    <row r="1" spans="1:3">
      <c r="A1" t="s">
        <v>3</v>
      </c>
      <c r="B1" t="s">
        <v>123</v>
      </c>
      <c r="C1" t="s">
        <v>244</v>
      </c>
    </row>
    <row r="2" spans="1:3">
      <c r="A2" t="s">
        <v>14</v>
      </c>
      <c r="B2" t="s">
        <v>125</v>
      </c>
      <c r="C2" t="s">
        <v>245</v>
      </c>
    </row>
    <row r="3" spans="1:3">
      <c r="A3" t="s">
        <v>27</v>
      </c>
      <c r="B3" t="s">
        <v>127</v>
      </c>
      <c r="C3" t="s">
        <v>246</v>
      </c>
    </row>
    <row r="4" spans="1:3">
      <c r="A4" t="s">
        <v>21</v>
      </c>
      <c r="B4" t="s">
        <v>129</v>
      </c>
      <c r="C4" t="s">
        <v>247</v>
      </c>
    </row>
    <row r="5" spans="1:3">
      <c r="A5" t="s">
        <v>33</v>
      </c>
      <c r="B5" t="s">
        <v>131</v>
      </c>
      <c r="C5" t="s">
        <v>248</v>
      </c>
    </row>
    <row r="6" spans="1:3">
      <c r="A6" t="s">
        <v>8</v>
      </c>
      <c r="B6" t="s">
        <v>133</v>
      </c>
      <c r="C6" t="s">
        <v>245</v>
      </c>
    </row>
    <row r="7" spans="1:3">
      <c r="A7" t="s">
        <v>11</v>
      </c>
      <c r="B7" t="s">
        <v>134</v>
      </c>
      <c r="C7" t="s">
        <v>249</v>
      </c>
    </row>
    <row r="8" spans="1:3">
      <c r="A8" t="s">
        <v>29</v>
      </c>
      <c r="B8" t="s">
        <v>136</v>
      </c>
      <c r="C8" t="s">
        <v>250</v>
      </c>
    </row>
    <row r="9" spans="1:3">
      <c r="A9" t="s">
        <v>35</v>
      </c>
      <c r="B9" t="s">
        <v>138</v>
      </c>
      <c r="C9" t="s">
        <v>251</v>
      </c>
    </row>
    <row r="10" spans="1:3">
      <c r="A10" t="s">
        <v>41</v>
      </c>
      <c r="B10" t="s">
        <v>140</v>
      </c>
      <c r="C10" t="s">
        <v>252</v>
      </c>
    </row>
    <row r="11" spans="1:3">
      <c r="A11" t="s">
        <v>17</v>
      </c>
      <c r="B11" t="s">
        <v>142</v>
      </c>
      <c r="C11" t="s">
        <v>253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9F8BA-FADA-4A1B-9FD2-91A8CA795C88}">
  <sheetPr codeName="Hoja17"/>
  <dimension ref="A1:H6"/>
  <sheetViews>
    <sheetView workbookViewId="0">
      <selection activeCell="F3" sqref="F3"/>
    </sheetView>
  </sheetViews>
  <sheetFormatPr baseColWidth="10" defaultRowHeight="13.8"/>
  <cols>
    <col min="1" max="1" width="15.09765625" customWidth="1"/>
    <col min="3" max="3" width="11.59765625" customWidth="1"/>
    <col min="5" max="5" width="12.69921875" customWidth="1"/>
    <col min="6" max="6" width="14" customWidth="1"/>
    <col min="7" max="7" width="16" customWidth="1"/>
    <col min="8" max="8" width="13.8984375" customWidth="1"/>
  </cols>
  <sheetData>
    <row r="1" spans="1:8">
      <c r="A1" t="s">
        <v>254</v>
      </c>
      <c r="B1" t="s">
        <v>1</v>
      </c>
      <c r="C1" t="s">
        <v>3</v>
      </c>
      <c r="D1" t="s">
        <v>255</v>
      </c>
      <c r="E1" t="s">
        <v>256</v>
      </c>
      <c r="F1" t="s">
        <v>257</v>
      </c>
      <c r="G1" t="s">
        <v>258</v>
      </c>
      <c r="H1" t="s">
        <v>259</v>
      </c>
    </row>
    <row r="2" spans="1:8">
      <c r="A2" t="s">
        <v>260</v>
      </c>
      <c r="B2" s="32">
        <v>46266</v>
      </c>
      <c r="C2" t="s">
        <v>14</v>
      </c>
      <c r="D2">
        <v>500000</v>
      </c>
      <c r="E2" s="37">
        <v>0.3</v>
      </c>
      <c r="F2">
        <v>12</v>
      </c>
      <c r="G2" s="38">
        <v>48743.563494168971</v>
      </c>
      <c r="H2" s="38">
        <v>672444.4121231488</v>
      </c>
    </row>
    <row r="3" spans="1:8">
      <c r="A3" t="s">
        <v>261</v>
      </c>
      <c r="B3" s="32">
        <v>46267</v>
      </c>
      <c r="C3" t="s">
        <v>21</v>
      </c>
      <c r="D3">
        <v>350000</v>
      </c>
      <c r="E3" s="37">
        <v>0.24</v>
      </c>
      <c r="F3">
        <v>18</v>
      </c>
      <c r="G3" s="38">
        <v>23345.735752776829</v>
      </c>
      <c r="H3" s="38">
        <v>499886.18665169546</v>
      </c>
    </row>
    <row r="4" spans="1:8">
      <c r="A4" t="s">
        <v>262</v>
      </c>
      <c r="B4" s="32">
        <v>46268</v>
      </c>
      <c r="C4" t="s">
        <v>8</v>
      </c>
      <c r="D4">
        <v>750000</v>
      </c>
      <c r="E4" s="37">
        <v>0.36</v>
      </c>
      <c r="F4">
        <v>24</v>
      </c>
      <c r="G4" s="38">
        <v>44285.561961727406</v>
      </c>
      <c r="H4" s="38">
        <v>1524595.5798453013</v>
      </c>
    </row>
    <row r="5" spans="1:8">
      <c r="A5" s="36" t="s">
        <v>270</v>
      </c>
      <c r="B5" s="39">
        <v>46289</v>
      </c>
      <c r="C5" s="36" t="s">
        <v>14</v>
      </c>
      <c r="D5" s="36">
        <v>500000</v>
      </c>
      <c r="E5" s="40">
        <v>0.3</v>
      </c>
      <c r="F5" s="36">
        <v>12</v>
      </c>
      <c r="G5" s="36">
        <v>48743.563499999997</v>
      </c>
      <c r="H5" s="36">
        <v>672444.41209999996</v>
      </c>
    </row>
    <row r="6" spans="1:8">
      <c r="A6" s="36" t="s">
        <v>271</v>
      </c>
      <c r="B6" s="39">
        <v>46289</v>
      </c>
      <c r="C6" s="36" t="s">
        <v>21</v>
      </c>
      <c r="D6" s="36">
        <v>600000</v>
      </c>
      <c r="E6" s="40">
        <v>0.24</v>
      </c>
      <c r="F6" s="36">
        <v>18</v>
      </c>
      <c r="G6" s="36">
        <v>40021.261299999998</v>
      </c>
      <c r="H6" s="36">
        <v>856947.74849999999</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4D1EE-37F0-4DF1-944E-7C710EFB4533}">
  <sheetPr codeName="Hoja18"/>
  <dimension ref="A1:B9"/>
  <sheetViews>
    <sheetView workbookViewId="0">
      <selection activeCell="B4" sqref="B4:B6"/>
    </sheetView>
  </sheetViews>
  <sheetFormatPr baseColWidth="10" defaultRowHeight="13.8"/>
  <sheetData>
    <row r="1" spans="1:2">
      <c r="A1" t="s">
        <v>263</v>
      </c>
    </row>
    <row r="2" spans="1:2">
      <c r="A2" t="s">
        <v>269</v>
      </c>
    </row>
    <row r="3" spans="1:2">
      <c r="A3" t="s">
        <v>264</v>
      </c>
      <c r="B3" s="41" t="s">
        <v>21</v>
      </c>
    </row>
    <row r="4" spans="1:2">
      <c r="A4" t="s">
        <v>255</v>
      </c>
      <c r="B4" s="41">
        <v>600000</v>
      </c>
    </row>
    <row r="5" spans="1:2">
      <c r="A5" t="s">
        <v>265</v>
      </c>
      <c r="B5" s="42">
        <v>0.24</v>
      </c>
    </row>
    <row r="6" spans="1:2">
      <c r="A6" t="s">
        <v>266</v>
      </c>
      <c r="B6" s="41">
        <v>18</v>
      </c>
    </row>
    <row r="7" spans="1:2">
      <c r="A7" t="s">
        <v>269</v>
      </c>
    </row>
    <row r="8" spans="1:2">
      <c r="A8" t="s">
        <v>267</v>
      </c>
      <c r="B8" s="38">
        <f>-PMT(B5/12,B6,B4)</f>
        <v>40021.261290474562</v>
      </c>
    </row>
    <row r="9" spans="1:2">
      <c r="A9" t="s">
        <v>268</v>
      </c>
      <c r="B9" s="38">
        <f>FV(B5/12,B6,0,-B4)</f>
        <v>856947.74854576366</v>
      </c>
    </row>
  </sheetData>
  <sheetProtection algorithmName="SHA-512" hashValue="KMyGzT1/lJln49l9dtLb5oMmSLiXWscwC557f6DsvKNQ6WDyh6jQ44OLWAs7hxkSkqUKRnKG20c1v0YJ1bNBHA==" saltValue="nArk7XcaGDzrVXHQAhVwyQ==" spinCount="100000" sheet="1" objects="1" scenarios="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9457" r:id="rId3" name="Button 1">
              <controlPr defaultSize="0" print="0" autoFill="0" autoPict="0" macro="[0]!ArchivarSimulacion">
                <anchor moveWithCells="1" sizeWithCells="1">
                  <from>
                    <xdr:col>4</xdr:col>
                    <xdr:colOff>22860</xdr:colOff>
                    <xdr:row>3</xdr:row>
                    <xdr:rowOff>167640</xdr:rowOff>
                  </from>
                  <to>
                    <xdr:col>6</xdr:col>
                    <xdr:colOff>289560</xdr:colOff>
                    <xdr:row>12</xdr:row>
                    <xdr:rowOff>106680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4BF8-CF5F-43A2-BA1C-34497FC67EA0}">
  <sheetPr codeName="Hoja20">
    <pageSetUpPr fitToPage="1"/>
  </sheetPr>
  <dimension ref="A3:K38"/>
  <sheetViews>
    <sheetView zoomScale="70" zoomScaleNormal="70" workbookViewId="0">
      <selection activeCell="G12" sqref="G12"/>
    </sheetView>
  </sheetViews>
  <sheetFormatPr baseColWidth="10" defaultRowHeight="13.8"/>
  <cols>
    <col min="1" max="1" width="16.19921875" bestFit="1" customWidth="1"/>
    <col min="2" max="2" width="20.69921875" bestFit="1" customWidth="1"/>
    <col min="3" max="3" width="18.69921875" bestFit="1" customWidth="1"/>
    <col min="4" max="4" width="17.69921875" bestFit="1" customWidth="1"/>
    <col min="5" max="5" width="18.69921875" bestFit="1" customWidth="1"/>
    <col min="6" max="6" width="17.69921875" bestFit="1" customWidth="1"/>
    <col min="7" max="7" width="18.69921875" bestFit="1" customWidth="1"/>
    <col min="8" max="8" width="17.69921875" bestFit="1" customWidth="1"/>
    <col min="9" max="9" width="18.69921875" bestFit="1" customWidth="1"/>
    <col min="10" max="10" width="22.09765625" bestFit="1" customWidth="1"/>
    <col min="11" max="11" width="23.09765625" bestFit="1" customWidth="1"/>
  </cols>
  <sheetData>
    <row r="3" spans="1:11" ht="14.4">
      <c r="A3" s="44"/>
      <c r="B3" s="45" t="s">
        <v>286</v>
      </c>
      <c r="C3" s="44"/>
      <c r="D3" s="44"/>
      <c r="E3" s="44"/>
      <c r="F3" s="44"/>
      <c r="G3" s="44"/>
      <c r="H3" s="44"/>
      <c r="I3" s="44"/>
      <c r="J3" s="44"/>
      <c r="K3" s="44"/>
    </row>
    <row r="4" spans="1:11" ht="14.4">
      <c r="A4" s="44"/>
      <c r="B4" s="44" t="s">
        <v>109</v>
      </c>
      <c r="C4" s="44"/>
      <c r="D4" s="44" t="s">
        <v>103</v>
      </c>
      <c r="E4" s="44"/>
      <c r="F4" s="44" t="s">
        <v>106</v>
      </c>
      <c r="G4" s="44"/>
      <c r="H4" s="44" t="s">
        <v>121</v>
      </c>
      <c r="I4" s="44"/>
      <c r="J4" s="44" t="s">
        <v>287</v>
      </c>
      <c r="K4" s="44" t="s">
        <v>288</v>
      </c>
    </row>
    <row r="5" spans="1:11" ht="14.4">
      <c r="A5" s="45" t="s">
        <v>285</v>
      </c>
      <c r="B5" s="44" t="s">
        <v>240</v>
      </c>
      <c r="C5" s="44" t="s">
        <v>289</v>
      </c>
      <c r="D5" s="44" t="s">
        <v>240</v>
      </c>
      <c r="E5" s="44" t="s">
        <v>289</v>
      </c>
      <c r="F5" s="44" t="s">
        <v>240</v>
      </c>
      <c r="G5" s="44" t="s">
        <v>289</v>
      </c>
      <c r="H5" s="44" t="s">
        <v>240</v>
      </c>
      <c r="I5" s="44" t="s">
        <v>289</v>
      </c>
      <c r="J5" s="44"/>
      <c r="K5" s="44"/>
    </row>
    <row r="6" spans="1:11" ht="14.4">
      <c r="A6" s="46" t="s">
        <v>115</v>
      </c>
      <c r="B6" s="48"/>
      <c r="C6" s="47">
        <v>0</v>
      </c>
      <c r="D6" s="48"/>
      <c r="E6" s="47">
        <v>0</v>
      </c>
      <c r="F6" s="48">
        <v>399990</v>
      </c>
      <c r="G6" s="47">
        <v>0.11428527346006744</v>
      </c>
      <c r="H6" s="48"/>
      <c r="I6" s="47">
        <v>0</v>
      </c>
      <c r="J6" s="48">
        <v>399990</v>
      </c>
      <c r="K6" s="47">
        <v>0.11428527346006744</v>
      </c>
    </row>
    <row r="7" spans="1:11" ht="14.4">
      <c r="A7" s="46" t="s">
        <v>117</v>
      </c>
      <c r="B7" s="48"/>
      <c r="C7" s="47">
        <v>0</v>
      </c>
      <c r="D7" s="48"/>
      <c r="E7" s="47">
        <v>0</v>
      </c>
      <c r="F7" s="48">
        <v>349993</v>
      </c>
      <c r="G7" s="47">
        <v>0.10000011428813066</v>
      </c>
      <c r="H7" s="48"/>
      <c r="I7" s="47">
        <v>0</v>
      </c>
      <c r="J7" s="48">
        <v>349993</v>
      </c>
      <c r="K7" s="47">
        <v>0.10000011428813066</v>
      </c>
    </row>
    <row r="8" spans="1:11" ht="14.4">
      <c r="A8" s="46" t="s">
        <v>111</v>
      </c>
      <c r="B8" s="48"/>
      <c r="C8" s="47">
        <v>0</v>
      </c>
      <c r="D8" s="48">
        <v>0</v>
      </c>
      <c r="E8" s="47">
        <v>0</v>
      </c>
      <c r="F8" s="48"/>
      <c r="G8" s="47">
        <v>0</v>
      </c>
      <c r="H8" s="48"/>
      <c r="I8" s="47">
        <v>0</v>
      </c>
      <c r="J8" s="48">
        <v>0</v>
      </c>
      <c r="K8" s="47">
        <v>0</v>
      </c>
    </row>
    <row r="9" spans="1:11" ht="14.4">
      <c r="A9" s="46" t="s">
        <v>108</v>
      </c>
      <c r="B9" s="48">
        <v>599990</v>
      </c>
      <c r="C9" s="47">
        <v>0.17142933879173444</v>
      </c>
      <c r="D9" s="48"/>
      <c r="E9" s="47">
        <v>0</v>
      </c>
      <c r="F9" s="48"/>
      <c r="G9" s="47">
        <v>0</v>
      </c>
      <c r="H9" s="48">
        <v>314993</v>
      </c>
      <c r="I9" s="47">
        <v>8.9999902855088937E-2</v>
      </c>
      <c r="J9" s="48">
        <v>914983</v>
      </c>
      <c r="K9" s="47">
        <v>0.26142924164682341</v>
      </c>
    </row>
    <row r="10" spans="1:11" ht="14.4">
      <c r="A10" s="46" t="s">
        <v>105</v>
      </c>
      <c r="B10" s="48"/>
      <c r="C10" s="47">
        <v>0</v>
      </c>
      <c r="D10" s="48"/>
      <c r="E10" s="47">
        <v>0</v>
      </c>
      <c r="F10" s="48">
        <v>769989</v>
      </c>
      <c r="G10" s="47">
        <v>0.22000150860332476</v>
      </c>
      <c r="H10" s="48"/>
      <c r="I10" s="47">
        <v>0</v>
      </c>
      <c r="J10" s="48">
        <v>769989</v>
      </c>
      <c r="K10" s="47">
        <v>0.22000150860332476</v>
      </c>
    </row>
    <row r="11" spans="1:11" ht="14.4">
      <c r="A11" s="46" t="s">
        <v>119</v>
      </c>
      <c r="B11" s="48">
        <v>659989</v>
      </c>
      <c r="C11" s="47">
        <v>0.1885722726709079</v>
      </c>
      <c r="D11" s="48"/>
      <c r="E11" s="47">
        <v>0</v>
      </c>
      <c r="F11" s="48"/>
      <c r="G11" s="47">
        <v>0</v>
      </c>
      <c r="H11" s="48"/>
      <c r="I11" s="47">
        <v>0</v>
      </c>
      <c r="J11" s="48">
        <v>659989</v>
      </c>
      <c r="K11" s="47">
        <v>0.1885722726709079</v>
      </c>
    </row>
    <row r="12" spans="1:11" ht="14.4">
      <c r="A12" s="46" t="s">
        <v>102</v>
      </c>
      <c r="B12" s="48"/>
      <c r="C12" s="47">
        <v>0</v>
      </c>
      <c r="D12" s="48">
        <v>269991</v>
      </c>
      <c r="E12" s="47">
        <v>7.7141916714810535E-2</v>
      </c>
      <c r="F12" s="48"/>
      <c r="G12" s="47">
        <v>0</v>
      </c>
      <c r="H12" s="48"/>
      <c r="I12" s="47">
        <v>0</v>
      </c>
      <c r="J12" s="48">
        <v>269991</v>
      </c>
      <c r="K12" s="47">
        <v>7.7141916714810535E-2</v>
      </c>
    </row>
    <row r="13" spans="1:11" ht="14.4">
      <c r="A13" s="46" t="s">
        <v>113</v>
      </c>
      <c r="B13" s="48"/>
      <c r="C13" s="47">
        <v>0</v>
      </c>
      <c r="D13" s="48">
        <v>134991</v>
      </c>
      <c r="E13" s="47">
        <v>3.8569672615935309E-2</v>
      </c>
      <c r="F13" s="48"/>
      <c r="G13" s="47">
        <v>0</v>
      </c>
      <c r="H13" s="48"/>
      <c r="I13" s="47">
        <v>0</v>
      </c>
      <c r="J13" s="48">
        <v>134991</v>
      </c>
      <c r="K13" s="47">
        <v>3.8569672615935309E-2</v>
      </c>
    </row>
    <row r="14" spans="1:11" ht="14.4">
      <c r="A14" s="46" t="s">
        <v>239</v>
      </c>
      <c r="B14" s="48">
        <v>1259979</v>
      </c>
      <c r="C14" s="47">
        <v>0.36000161146264237</v>
      </c>
      <c r="D14" s="48">
        <v>404982</v>
      </c>
      <c r="E14" s="47">
        <v>0.11571158933074585</v>
      </c>
      <c r="F14" s="48">
        <v>1519972</v>
      </c>
      <c r="G14" s="47">
        <v>0.43428689635152284</v>
      </c>
      <c r="H14" s="48">
        <v>314993</v>
      </c>
      <c r="I14" s="47">
        <v>8.9999902855088937E-2</v>
      </c>
      <c r="J14" s="48">
        <v>3499926</v>
      </c>
      <c r="K14" s="47">
        <v>1</v>
      </c>
    </row>
    <row r="35" spans="7:8">
      <c r="H35" s="33"/>
    </row>
    <row r="38" spans="7:8">
      <c r="G38" s="33"/>
    </row>
  </sheetData>
  <printOptions horizontalCentered="1" verticalCentered="1"/>
  <pageMargins left="0.7" right="0.7" top="0.75" bottom="0.75" header="0.3" footer="0.3"/>
  <pageSetup scale="53"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40961" r:id="rId5" name="Button 1">
              <controlPr defaultSize="0" print="0" autoFill="0" autoPict="0" macro="[0]!ActualizarDatos">
                <anchor moveWithCells="1" sizeWithCells="1">
                  <from>
                    <xdr:col>2</xdr:col>
                    <xdr:colOff>1379220</xdr:colOff>
                    <xdr:row>23</xdr:row>
                    <xdr:rowOff>152400</xdr:rowOff>
                  </from>
                  <to>
                    <xdr:col>4</xdr:col>
                    <xdr:colOff>708660</xdr:colOff>
                    <xdr:row>32</xdr:row>
                    <xdr:rowOff>99060</xdr:rowOff>
                  </to>
                </anchor>
              </controlPr>
            </control>
          </mc:Choice>
        </mc:AlternateContent>
        <mc:AlternateContent xmlns:mc="http://schemas.openxmlformats.org/markup-compatibility/2006">
          <mc:Choice Requires="x14">
            <control shapeId="40962" r:id="rId6" name="Button 2">
              <controlPr defaultSize="0" print="0" autoFill="0" autoPict="0" macro="[0]!AplicarFormato">
                <anchor moveWithCells="1" sizeWithCells="1">
                  <from>
                    <xdr:col>1</xdr:col>
                    <xdr:colOff>525780</xdr:colOff>
                    <xdr:row>24</xdr:row>
                    <xdr:rowOff>68580</xdr:rowOff>
                  </from>
                  <to>
                    <xdr:col>2</xdr:col>
                    <xdr:colOff>914400</xdr:colOff>
                    <xdr:row>32</xdr:row>
                    <xdr:rowOff>76200</xdr:rowOff>
                  </to>
                </anchor>
              </controlPr>
            </control>
          </mc:Choice>
        </mc:AlternateContent>
        <mc:AlternateContent xmlns:mc="http://schemas.openxmlformats.org/markup-compatibility/2006">
          <mc:Choice Requires="x14">
            <control shapeId="40963" r:id="rId7" name="Button 3">
              <controlPr defaultSize="0" print="0" autoFill="0" autoPict="0" macro="[0]!LimpiarFiltros">
                <anchor moveWithCells="1" sizeWithCells="1">
                  <from>
                    <xdr:col>4</xdr:col>
                    <xdr:colOff>1211580</xdr:colOff>
                    <xdr:row>24</xdr:row>
                    <xdr:rowOff>76200</xdr:rowOff>
                  </from>
                  <to>
                    <xdr:col>6</xdr:col>
                    <xdr:colOff>30480</xdr:colOff>
                    <xdr:row>32</xdr:row>
                    <xdr:rowOff>68580</xdr:rowOff>
                  </to>
                </anchor>
              </controlPr>
            </control>
          </mc:Choice>
        </mc:AlternateContent>
        <mc:AlternateContent xmlns:mc="http://schemas.openxmlformats.org/markup-compatibility/2006">
          <mc:Choice Requires="x14">
            <control shapeId="40964" r:id="rId8" name="Button 4">
              <controlPr defaultSize="0" print="0" autoFill="0" autoPict="0" macro="[0]!ExportarPDF">
                <anchor moveWithCells="1" sizeWithCells="1">
                  <from>
                    <xdr:col>1</xdr:col>
                    <xdr:colOff>609600</xdr:colOff>
                    <xdr:row>34</xdr:row>
                    <xdr:rowOff>45720</xdr:rowOff>
                  </from>
                  <to>
                    <xdr:col>2</xdr:col>
                    <xdr:colOff>868680</xdr:colOff>
                    <xdr:row>44</xdr:row>
                    <xdr:rowOff>7620</xdr:rowOff>
                  </to>
                </anchor>
              </controlPr>
            </control>
          </mc:Choice>
        </mc:AlternateContent>
      </controls>
    </mc:Choice>
  </mc:AlternateContent>
  <extLst>
    <ext xmlns:x14="http://schemas.microsoft.com/office/spreadsheetml/2009/9/main" uri="{A8765BA9-456A-4dab-B4F3-ACF838C121DE}">
      <x14:slicerList>
        <x14:slicer r:id="rId9"/>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169CC-4CCC-4C1F-96BE-DABC9797DE9E}">
  <sheetPr codeName="Hoja21"/>
  <dimension ref="A1"/>
  <sheetViews>
    <sheetView workbookViewId="0">
      <selection sqref="A1:L49"/>
    </sheetView>
  </sheetViews>
  <sheetFormatPr baseColWidth="10" defaultRowHeight="13.8"/>
  <cols>
    <col min="1" max="1" width="10.796875" bestFit="1" customWidth="1"/>
    <col min="2" max="2" width="8.8984375" bestFit="1" customWidth="1"/>
    <col min="3" max="3" width="11.8984375" bestFit="1" customWidth="1"/>
    <col min="4" max="4" width="9.09765625" bestFit="1" customWidth="1"/>
    <col min="5" max="5" width="11.796875" bestFit="1" customWidth="1"/>
    <col min="6" max="6" width="11.09765625" bestFit="1" customWidth="1"/>
    <col min="7" max="7" width="22.3984375" bestFit="1" customWidth="1"/>
    <col min="8" max="8" width="11.59765625" bestFit="1" customWidth="1"/>
    <col min="9" max="9" width="13.8984375" bestFit="1" customWidth="1"/>
    <col min="10" max="10" width="10.59765625" bestFit="1" customWidth="1"/>
    <col min="11" max="11" width="16.296875" bestFit="1" customWidth="1"/>
    <col min="12" max="12" width="13.296875" bestFit="1" customWidth="1"/>
  </cols>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2352-E14E-4DB6-A7ED-6DE6F0453DBC}">
  <sheetPr codeName="Hoja22"/>
  <dimension ref="A1:B20"/>
  <sheetViews>
    <sheetView workbookViewId="0">
      <selection activeCell="F17" sqref="F17"/>
    </sheetView>
  </sheetViews>
  <sheetFormatPr baseColWidth="10" defaultRowHeight="13.8"/>
  <cols>
    <col min="1" max="1" width="25" customWidth="1"/>
  </cols>
  <sheetData>
    <row r="1" spans="1:2">
      <c r="A1" t="s">
        <v>273</v>
      </c>
    </row>
    <row r="2" spans="1:2">
      <c r="A2" t="s">
        <v>269</v>
      </c>
    </row>
    <row r="3" spans="1:2">
      <c r="A3" t="s">
        <v>274</v>
      </c>
      <c r="B3">
        <v>1000000</v>
      </c>
    </row>
    <row r="4" spans="1:2">
      <c r="A4" t="s">
        <v>275</v>
      </c>
      <c r="B4" s="37">
        <v>0.3</v>
      </c>
    </row>
    <row r="5" spans="1:2">
      <c r="A5" t="s">
        <v>276</v>
      </c>
      <c r="B5">
        <v>36</v>
      </c>
    </row>
    <row r="6" spans="1:2">
      <c r="A6" t="s">
        <v>277</v>
      </c>
      <c r="B6" s="38">
        <f>-PMT(B4/12,B5,B3)</f>
        <v>42451.576743482576</v>
      </c>
    </row>
    <row r="7" spans="1:2">
      <c r="A7" t="s">
        <v>269</v>
      </c>
    </row>
    <row r="8" spans="1:2">
      <c r="A8" t="s">
        <v>278</v>
      </c>
      <c r="B8" s="37">
        <v>0.15</v>
      </c>
    </row>
    <row r="10" spans="1:2">
      <c r="A10" t="s">
        <v>279</v>
      </c>
      <c r="B10" t="s">
        <v>280</v>
      </c>
    </row>
    <row r="11" spans="1:2">
      <c r="A11">
        <v>0</v>
      </c>
      <c r="B11">
        <v>-1000000</v>
      </c>
    </row>
    <row r="12" spans="1:2">
      <c r="A12">
        <v>1</v>
      </c>
      <c r="B12">
        <v>280000</v>
      </c>
    </row>
    <row r="13" spans="1:2">
      <c r="A13">
        <v>2</v>
      </c>
      <c r="B13">
        <v>320000</v>
      </c>
    </row>
    <row r="14" spans="1:2">
      <c r="A14">
        <v>3</v>
      </c>
      <c r="B14">
        <v>360000</v>
      </c>
    </row>
    <row r="15" spans="1:2">
      <c r="A15">
        <v>4</v>
      </c>
      <c r="B15">
        <v>400000</v>
      </c>
    </row>
    <row r="16" spans="1:2">
      <c r="A16">
        <v>5</v>
      </c>
      <c r="B16">
        <v>450000</v>
      </c>
    </row>
    <row r="17" spans="1:2">
      <c r="A17" t="s">
        <v>281</v>
      </c>
      <c r="B17" s="38">
        <f>NPV(B8,B12:B16)+B11</f>
        <v>174580.90720149665</v>
      </c>
    </row>
    <row r="18" spans="1:2">
      <c r="A18" t="s">
        <v>282</v>
      </c>
      <c r="B18" s="37">
        <f>IRR(B11:B16)</f>
        <v>0.21561374711369163</v>
      </c>
    </row>
    <row r="20" spans="1:2">
      <c r="A20" s="43" t="s">
        <v>283</v>
      </c>
      <c r="B20" t="s">
        <v>284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DC20865-D45B-44DF-BA88-5C3B640E36D2}">
  <ds:schemaRefs/>
</ds:datastoreItem>
</file>

<file path=customXml/itemProps2.xml><?xml version="1.0" encoding="utf-8"?>
<ds:datastoreItem xmlns:ds="http://schemas.openxmlformats.org/officeDocument/2006/customXml" ds:itemID="{7820C0D5-41F8-4EC9-B373-3CC3BBBBF5E6}">
  <ds:schemaRefs/>
</ds:datastoreItem>
</file>

<file path=customXml/itemProps3.xml><?xml version="1.0" encoding="utf-8"?>
<ds:datastoreItem xmlns:ds="http://schemas.openxmlformats.org/officeDocument/2006/customXml" ds:itemID="{A256ABBD-F341-4BD3-A245-CA0A9CF25656}">
  <ds:schemaRefs/>
</ds:datastoreItem>
</file>

<file path=customXml/itemProps4.xml><?xml version="1.0" encoding="utf-8"?>
<ds:datastoreItem xmlns:ds="http://schemas.openxmlformats.org/officeDocument/2006/customXml" ds:itemID="{E1404185-DF7C-48DA-BC06-EB63A4539954}">
  <ds:schemaRefs/>
</ds:datastoreItem>
</file>

<file path=customXml/itemProps5.xml><?xml version="1.0" encoding="utf-8"?>
<ds:datastoreItem xmlns:ds="http://schemas.openxmlformats.org/officeDocument/2006/customXml" ds:itemID="{BD086A85-E54A-4EB9-BC89-18543B18C783}">
  <ds:schemaRefs/>
</ds:datastoreItem>
</file>

<file path=customXml/itemProps6.xml><?xml version="1.0" encoding="utf-8"?>
<ds:datastoreItem xmlns:ds="http://schemas.openxmlformats.org/officeDocument/2006/customXml" ds:itemID="{FFFE6095-F49A-4E88-88C7-9F7ED8A37794}">
  <ds:schemaRefs/>
</ds:datastoreItem>
</file>

<file path=customXml/itemProps7.xml><?xml version="1.0" encoding="utf-8"?>
<ds:datastoreItem xmlns:ds="http://schemas.openxmlformats.org/officeDocument/2006/customXml" ds:itemID="{CD3078A1-2577-47B9-8B67-4FA707515204}">
  <ds:schemaRefs/>
</ds:datastoreItem>
</file>

<file path=customXml/itemProps8.xml><?xml version="1.0" encoding="utf-8"?>
<ds:datastoreItem xmlns:ds="http://schemas.openxmlformats.org/officeDocument/2006/customXml" ds:itemID="{FEB1414B-F727-47C2-8D00-ED3856DC0C9F}">
  <ds:schemaRefs/>
</ds:datastoreItem>
</file>

<file path=customXml/itemProps9.xml><?xml version="1.0" encoding="utf-8"?>
<ds:datastoreItem xmlns:ds="http://schemas.openxmlformats.org/officeDocument/2006/customXml" ds:itemID="{A831A65E-D9C6-472A-BBCD-8BBCBB7F55AE}">
  <ds:schemaRefs/>
</ds:datastoreItem>
</file>

<file path=customXml/itemProps10.xml><?xml version="1.0" encoding="utf-8"?>
<ds:datastoreItem xmlns:ds="http://schemas.openxmlformats.org/officeDocument/2006/customXml" ds:itemID="{5AE3B099-8435-4DA5-8B95-59EC92E69FBC}">
  <ds:schemaRefs/>
</ds:datastoreItem>
</file>

<file path=customXml/itemProps11.xml><?xml version="1.0" encoding="utf-8"?>
<ds:datastoreItem xmlns:ds="http://schemas.openxmlformats.org/officeDocument/2006/customXml" ds:itemID="{D87C8B3E-239C-4371-9755-DB2C98FC619C}">
  <ds:schemaRefs/>
</ds:datastoreItem>
</file>

<file path=customXml/itemProps12.xml><?xml version="1.0" encoding="utf-8"?>
<ds:datastoreItem xmlns:ds="http://schemas.openxmlformats.org/officeDocument/2006/customXml" ds:itemID="{C280595B-F6BE-4CE5-BC20-D2EA1A09E52A}">
  <ds:schemaRefs>
    <ds:schemaRef ds:uri="http://schemas.microsoft.com/DataMashup"/>
  </ds:schemaRefs>
</ds:datastoreItem>
</file>

<file path=customXml/itemProps13.xml><?xml version="1.0" encoding="utf-8"?>
<ds:datastoreItem xmlns:ds="http://schemas.openxmlformats.org/officeDocument/2006/customXml" ds:itemID="{778A3811-AF97-4551-BC39-68DA3BA225C7}">
  <ds:schemaRefs/>
</ds:datastoreItem>
</file>

<file path=customXml/itemProps14.xml><?xml version="1.0" encoding="utf-8"?>
<ds:datastoreItem xmlns:ds="http://schemas.openxmlformats.org/officeDocument/2006/customXml" ds:itemID="{D79375E6-CEFA-4EBD-9378-0073210AD465}">
  <ds:schemaRefs/>
</ds:datastoreItem>
</file>

<file path=customXml/itemProps15.xml><?xml version="1.0" encoding="utf-8"?>
<ds:datastoreItem xmlns:ds="http://schemas.openxmlformats.org/officeDocument/2006/customXml" ds:itemID="{6C71A69D-73CB-4FD1-BD1E-4AD7CE74E4CA}">
  <ds:schemaRefs/>
</ds:datastoreItem>
</file>

<file path=customXml/itemProps16.xml><?xml version="1.0" encoding="utf-8"?>
<ds:datastoreItem xmlns:ds="http://schemas.openxmlformats.org/officeDocument/2006/customXml" ds:itemID="{1A112FC4-8598-4038-874F-08BDE503BE20}">
  <ds:schemaRefs/>
</ds:datastoreItem>
</file>

<file path=customXml/itemProps17.xml><?xml version="1.0" encoding="utf-8"?>
<ds:datastoreItem xmlns:ds="http://schemas.openxmlformats.org/officeDocument/2006/customXml" ds:itemID="{03397153-D1BC-4403-AC66-FAD86EBFEAD4}">
  <ds:schemaRefs/>
</ds:datastoreItem>
</file>

<file path=customXml/itemProps18.xml><?xml version="1.0" encoding="utf-8"?>
<ds:datastoreItem xmlns:ds="http://schemas.openxmlformats.org/officeDocument/2006/customXml" ds:itemID="{881149E7-144C-45D5-A789-245B65A22D06}">
  <ds:schemaRefs/>
</ds:datastoreItem>
</file>

<file path=customXml/itemProps19.xml><?xml version="1.0" encoding="utf-8"?>
<ds:datastoreItem xmlns:ds="http://schemas.openxmlformats.org/officeDocument/2006/customXml" ds:itemID="{14FEA7B4-1F6C-4166-8660-6E74FE2B0291}">
  <ds:schemaRefs/>
</ds:datastoreItem>
</file>

<file path=customXml/itemProps20.xml><?xml version="1.0" encoding="utf-8"?>
<ds:datastoreItem xmlns:ds="http://schemas.openxmlformats.org/officeDocument/2006/customXml" ds:itemID="{E3403E75-FE3C-4BF8-BBD7-E2B1709682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Estadistica_Descriptiva</vt:lpstr>
      <vt:lpstr>Resumen de Escenarios</vt:lpstr>
      <vt:lpstr>Simulacion_Financiera</vt:lpstr>
      <vt:lpstr>Dashboard Final</vt:lpstr>
      <vt:lpstr>Dataset_Principal</vt:lpstr>
      <vt:lpstr>Calculos</vt:lpstr>
      <vt:lpstr>Prevision</vt:lpstr>
      <vt:lpstr>Buscador</vt:lpstr>
      <vt:lpstr>Justificacion</vt:lpstr>
      <vt:lpstr>Cat_Juegos</vt:lpstr>
      <vt:lpstr>Cat_Clientes</vt:lpstr>
      <vt:lpstr>Reporte_Insights</vt:lpstr>
      <vt:lpstr>Matriz_Precios</vt:lpstr>
      <vt:lpstr>Busqueda_2D</vt:lpstr>
      <vt:lpstr>Vencimientos</vt:lpstr>
      <vt:lpstr>Auditoria</vt:lpstr>
      <vt:lpstr>Calculo_LET</vt:lpstr>
      <vt:lpstr>Base_Motor</vt:lpstr>
      <vt:lpstr>Detalle1</vt:lpstr>
      <vt:lpstr>Motor_Analisis</vt:lpstr>
      <vt:lpstr>Data_Clientes</vt:lpstr>
      <vt:lpstr>Historico_Simulaciones</vt:lpstr>
      <vt:lpstr>Dashboard</vt:lpstr>
      <vt:lpstr>Reporte_Ejecutivo</vt:lpstr>
      <vt:lpstr>Datos_ETL</vt:lpstr>
      <vt:lpstr>Evaluación_Financiera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Guerrino</dc:creator>
  <cp:lastModifiedBy>Mateo Guerrino</cp:lastModifiedBy>
  <cp:lastPrinted>2026-10-01T05:41:42Z</cp:lastPrinted>
  <dcterms:created xsi:type="dcterms:W3CDTF">2026-09-23T06:52:12Z</dcterms:created>
  <dcterms:modified xsi:type="dcterms:W3CDTF">2026-10-01T23:12:35Z</dcterms:modified>
</cp:coreProperties>
</file>